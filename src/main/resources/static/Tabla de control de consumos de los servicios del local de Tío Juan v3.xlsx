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5904434cde8360/Documentos/Historial Lecturas Local Tío Juan/"/>
    </mc:Choice>
  </mc:AlternateContent>
  <xr:revisionPtr revIDLastSave="432" documentId="8_{85C47909-0E49-4189-9CBB-C47141F76C9C}" xr6:coauthVersionLast="47" xr6:coauthVersionMax="47" xr10:uidLastSave="{8DA92904-D758-49E0-B5C0-41BE4EF1740F}"/>
  <bookViews>
    <workbookView xWindow="-120" yWindow="-120" windowWidth="29040" windowHeight="15720" tabRatio="658" activeTab="4" xr2:uid="{F2EFCB85-81B0-4307-9310-E34DC28F0BB9}"/>
  </bookViews>
  <sheets>
    <sheet name="LUZ" sheetId="8" r:id="rId1"/>
    <sheet name="AGUA" sheetId="9" r:id="rId2"/>
    <sheet name="RESUMEN" sheetId="10" r:id="rId3"/>
    <sheet name="Peluqueria" sheetId="3" r:id="rId4"/>
    <sheet name="Lavanderia" sheetId="6" r:id="rId5"/>
    <sheet name="Departamento_Antiguo" sheetId="4" r:id="rId6"/>
    <sheet name="Departamento_Nuevo" sheetId="5" r:id="rId7"/>
    <sheet name="Hoja1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8" i="6" l="1"/>
  <c r="T28" i="6"/>
  <c r="I28" i="6"/>
  <c r="V28" i="6"/>
  <c r="U28" i="6"/>
  <c r="W28" i="6" s="1"/>
  <c r="H28" i="6"/>
  <c r="R28" i="6"/>
  <c r="E28" i="6"/>
  <c r="Q28" i="6"/>
  <c r="O28" i="6"/>
  <c r="P28" i="6"/>
  <c r="F28" i="6"/>
  <c r="G28" i="6"/>
  <c r="O28" i="5"/>
  <c r="P28" i="5"/>
  <c r="Q28" i="5"/>
  <c r="R28" i="5"/>
  <c r="S28" i="5" s="1"/>
  <c r="T28" i="5" s="1"/>
  <c r="E28" i="5"/>
  <c r="F28" i="5"/>
  <c r="G28" i="5"/>
  <c r="H28" i="5" s="1"/>
  <c r="I28" i="5" s="1"/>
  <c r="J28" i="5" s="1"/>
  <c r="O28" i="4"/>
  <c r="S28" i="4" s="1"/>
  <c r="T28" i="4" s="1"/>
  <c r="P28" i="4"/>
  <c r="Q28" i="4"/>
  <c r="R28" i="4"/>
  <c r="E28" i="4"/>
  <c r="F28" i="4"/>
  <c r="G28" i="4"/>
  <c r="H28" i="4" s="1"/>
  <c r="V28" i="3"/>
  <c r="P28" i="3"/>
  <c r="O28" i="3"/>
  <c r="Q28" i="3"/>
  <c r="R28" i="3"/>
  <c r="S28" i="3" s="1"/>
  <c r="T28" i="3" s="1"/>
  <c r="E28" i="3"/>
  <c r="F28" i="3"/>
  <c r="G28" i="3"/>
  <c r="H28" i="3"/>
  <c r="I28" i="3" s="1"/>
  <c r="J28" i="3" s="1"/>
  <c r="D28" i="10"/>
  <c r="F23" i="3"/>
  <c r="G23" i="3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F21" i="3"/>
  <c r="Q22" i="5"/>
  <c r="R22" i="5" s="1"/>
  <c r="Q23" i="5"/>
  <c r="Q24" i="5"/>
  <c r="Q25" i="5"/>
  <c r="Q26" i="5"/>
  <c r="Q27" i="5"/>
  <c r="Q5" i="5"/>
  <c r="Q6" i="5"/>
  <c r="R6" i="5" s="1"/>
  <c r="Q7" i="5"/>
  <c r="Q8" i="5"/>
  <c r="Q9" i="5"/>
  <c r="Q10" i="5"/>
  <c r="Q11" i="5"/>
  <c r="Q12" i="5"/>
  <c r="Q13" i="5"/>
  <c r="Q14" i="5"/>
  <c r="Q15" i="5"/>
  <c r="R15" i="5" s="1"/>
  <c r="Q16" i="5"/>
  <c r="R16" i="5" s="1"/>
  <c r="Q17" i="5"/>
  <c r="Q18" i="5"/>
  <c r="Q19" i="5"/>
  <c r="Q20" i="5"/>
  <c r="Q21" i="5"/>
  <c r="Q4" i="5"/>
  <c r="R4" i="5" s="1"/>
  <c r="P22" i="5"/>
  <c r="P23" i="5"/>
  <c r="P24" i="5"/>
  <c r="P25" i="5"/>
  <c r="P26" i="5"/>
  <c r="P27" i="5"/>
  <c r="R27" i="5" s="1"/>
  <c r="P5" i="5"/>
  <c r="P6" i="5"/>
  <c r="P7" i="5"/>
  <c r="R7" i="5" s="1"/>
  <c r="P8" i="5"/>
  <c r="R8" i="5" s="1"/>
  <c r="P9" i="5"/>
  <c r="R9" i="5" s="1"/>
  <c r="P10" i="5"/>
  <c r="P11" i="5"/>
  <c r="P12" i="5"/>
  <c r="P13" i="5"/>
  <c r="P14" i="5"/>
  <c r="P15" i="5"/>
  <c r="P16" i="5"/>
  <c r="P17" i="5"/>
  <c r="P18" i="5"/>
  <c r="P19" i="5"/>
  <c r="P20" i="5"/>
  <c r="P21" i="5"/>
  <c r="P4" i="5"/>
  <c r="G22" i="5"/>
  <c r="G23" i="5"/>
  <c r="G24" i="5"/>
  <c r="G25" i="5"/>
  <c r="G26" i="5"/>
  <c r="G27" i="5"/>
  <c r="G5" i="5"/>
  <c r="G6" i="5"/>
  <c r="G7" i="5"/>
  <c r="H7" i="5" s="1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4" i="5"/>
  <c r="F22" i="5"/>
  <c r="F23" i="5"/>
  <c r="F24" i="5"/>
  <c r="F25" i="5"/>
  <c r="F26" i="5"/>
  <c r="H26" i="5" s="1"/>
  <c r="F27" i="5"/>
  <c r="H27" i="5" s="1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4" i="5"/>
  <c r="Q22" i="4"/>
  <c r="R22" i="4" s="1"/>
  <c r="Q23" i="4"/>
  <c r="Q24" i="4"/>
  <c r="R24" i="4" s="1"/>
  <c r="Q25" i="4"/>
  <c r="Q26" i="4"/>
  <c r="Q27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4" i="4"/>
  <c r="P22" i="4"/>
  <c r="P23" i="4"/>
  <c r="P24" i="4"/>
  <c r="P25" i="4"/>
  <c r="P26" i="4"/>
  <c r="P27" i="4"/>
  <c r="P5" i="4"/>
  <c r="P6" i="4"/>
  <c r="P7" i="4"/>
  <c r="R7" i="4" s="1"/>
  <c r="P8" i="4"/>
  <c r="P9" i="4"/>
  <c r="P10" i="4"/>
  <c r="P11" i="4"/>
  <c r="R11" i="4" s="1"/>
  <c r="P12" i="4"/>
  <c r="R12" i="4" s="1"/>
  <c r="P13" i="4"/>
  <c r="P14" i="4"/>
  <c r="P15" i="4"/>
  <c r="P16" i="4"/>
  <c r="P17" i="4"/>
  <c r="P18" i="4"/>
  <c r="P19" i="4"/>
  <c r="P20" i="4"/>
  <c r="P21" i="4"/>
  <c r="P4" i="4"/>
  <c r="G22" i="4"/>
  <c r="G23" i="4"/>
  <c r="G24" i="4"/>
  <c r="G25" i="4"/>
  <c r="G26" i="4"/>
  <c r="G27" i="4"/>
  <c r="G5" i="4"/>
  <c r="G6" i="4"/>
  <c r="G7" i="4"/>
  <c r="G8" i="4"/>
  <c r="G9" i="4"/>
  <c r="G10" i="4"/>
  <c r="G11" i="4"/>
  <c r="G12" i="4"/>
  <c r="H12" i="4" s="1"/>
  <c r="G13" i="4"/>
  <c r="G14" i="4"/>
  <c r="G15" i="4"/>
  <c r="G16" i="4"/>
  <c r="G17" i="4"/>
  <c r="G18" i="4"/>
  <c r="G19" i="4"/>
  <c r="G20" i="4"/>
  <c r="G21" i="4"/>
  <c r="G4" i="4"/>
  <c r="F22" i="4"/>
  <c r="F23" i="4"/>
  <c r="F24" i="4"/>
  <c r="F25" i="4"/>
  <c r="F26" i="4"/>
  <c r="F27" i="4"/>
  <c r="H27" i="4" s="1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4" i="4"/>
  <c r="Q22" i="6"/>
  <c r="Q23" i="6"/>
  <c r="Q24" i="6"/>
  <c r="Q25" i="6"/>
  <c r="Q26" i="6"/>
  <c r="Q27" i="6"/>
  <c r="Q5" i="6"/>
  <c r="Q6" i="6"/>
  <c r="Q7" i="6"/>
  <c r="Q8" i="6"/>
  <c r="Q9" i="6"/>
  <c r="Q10" i="6"/>
  <c r="Q11" i="6"/>
  <c r="Q12" i="6"/>
  <c r="Q13" i="6"/>
  <c r="Q14" i="6"/>
  <c r="Q15" i="6"/>
  <c r="Q16" i="6"/>
  <c r="R16" i="6" s="1"/>
  <c r="Q17" i="6"/>
  <c r="Q18" i="6"/>
  <c r="Q19" i="6"/>
  <c r="Q20" i="6"/>
  <c r="Q21" i="6"/>
  <c r="Q4" i="6"/>
  <c r="P22" i="6"/>
  <c r="P23" i="6"/>
  <c r="P24" i="6"/>
  <c r="P25" i="6"/>
  <c r="P26" i="6"/>
  <c r="P27" i="6"/>
  <c r="P5" i="6"/>
  <c r="P6" i="6"/>
  <c r="R6" i="6" s="1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R21" i="6" s="1"/>
  <c r="P4" i="6"/>
  <c r="G22" i="6"/>
  <c r="G23" i="6"/>
  <c r="G24" i="6"/>
  <c r="G25" i="6"/>
  <c r="G26" i="6"/>
  <c r="G27" i="6"/>
  <c r="G5" i="6"/>
  <c r="G6" i="6"/>
  <c r="G7" i="6"/>
  <c r="G8" i="6"/>
  <c r="G9" i="6"/>
  <c r="G10" i="6"/>
  <c r="G11" i="6"/>
  <c r="G12" i="6"/>
  <c r="H12" i="6" s="1"/>
  <c r="G13" i="6"/>
  <c r="G14" i="6"/>
  <c r="G15" i="6"/>
  <c r="G16" i="6"/>
  <c r="G17" i="6"/>
  <c r="G18" i="6"/>
  <c r="G19" i="6"/>
  <c r="G20" i="6"/>
  <c r="G21" i="6"/>
  <c r="G4" i="6"/>
  <c r="F22" i="6"/>
  <c r="F23" i="6"/>
  <c r="F24" i="6"/>
  <c r="F25" i="6"/>
  <c r="F26" i="6"/>
  <c r="H26" i="6" s="1"/>
  <c r="F27" i="6"/>
  <c r="F5" i="6"/>
  <c r="F6" i="6"/>
  <c r="F7" i="6"/>
  <c r="F8" i="6"/>
  <c r="F9" i="6"/>
  <c r="H9" i="6" s="1"/>
  <c r="F10" i="6"/>
  <c r="F11" i="6"/>
  <c r="F12" i="6"/>
  <c r="F13" i="6"/>
  <c r="H13" i="6" s="1"/>
  <c r="F14" i="6"/>
  <c r="F15" i="6"/>
  <c r="F16" i="6"/>
  <c r="F17" i="6"/>
  <c r="F18" i="6"/>
  <c r="F19" i="6"/>
  <c r="F20" i="6"/>
  <c r="F21" i="6"/>
  <c r="F4" i="6"/>
  <c r="Q22" i="3"/>
  <c r="Q23" i="3"/>
  <c r="R23" i="3" s="1"/>
  <c r="Q24" i="3"/>
  <c r="Q25" i="3"/>
  <c r="Q26" i="3"/>
  <c r="Q27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4" i="3"/>
  <c r="P22" i="3"/>
  <c r="P23" i="3"/>
  <c r="P24" i="3"/>
  <c r="P25" i="3"/>
  <c r="P26" i="3"/>
  <c r="P27" i="3"/>
  <c r="P5" i="3"/>
  <c r="P6" i="3"/>
  <c r="R6" i="3" s="1"/>
  <c r="P7" i="3"/>
  <c r="P8" i="3"/>
  <c r="R8" i="3" s="1"/>
  <c r="P9" i="3"/>
  <c r="R9" i="3" s="1"/>
  <c r="P10" i="3"/>
  <c r="R10" i="3" s="1"/>
  <c r="P11" i="3"/>
  <c r="R11" i="3" s="1"/>
  <c r="P12" i="3"/>
  <c r="R12" i="3" s="1"/>
  <c r="P13" i="3"/>
  <c r="P14" i="3"/>
  <c r="P15" i="3"/>
  <c r="P16" i="3"/>
  <c r="P17" i="3"/>
  <c r="P18" i="3"/>
  <c r="P19" i="3"/>
  <c r="P20" i="3"/>
  <c r="P21" i="3"/>
  <c r="R21" i="3" s="1"/>
  <c r="P4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H21" i="3"/>
  <c r="F22" i="3"/>
  <c r="F24" i="3"/>
  <c r="F25" i="3"/>
  <c r="F26" i="3"/>
  <c r="F27" i="3"/>
  <c r="G27" i="3"/>
  <c r="G26" i="3"/>
  <c r="G25" i="3"/>
  <c r="G24" i="3"/>
  <c r="G22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4" i="3"/>
  <c r="O4" i="3"/>
  <c r="O5" i="3"/>
  <c r="R5" i="3"/>
  <c r="R11" i="6"/>
  <c r="R12" i="6"/>
  <c r="R5" i="4"/>
  <c r="R6" i="4"/>
  <c r="R8" i="4"/>
  <c r="H9" i="5"/>
  <c r="H14" i="5"/>
  <c r="H21" i="5"/>
  <c r="H25" i="5"/>
  <c r="R5" i="5"/>
  <c r="R11" i="5"/>
  <c r="R12" i="5"/>
  <c r="R13" i="5"/>
  <c r="R21" i="5"/>
  <c r="R23" i="5"/>
  <c r="E16" i="6"/>
  <c r="E17" i="6"/>
  <c r="E18" i="6"/>
  <c r="E19" i="6"/>
  <c r="E20" i="6"/>
  <c r="E21" i="6"/>
  <c r="E22" i="6"/>
  <c r="E23" i="6"/>
  <c r="E24" i="6"/>
  <c r="E25" i="6"/>
  <c r="E26" i="6"/>
  <c r="E27" i="6"/>
  <c r="O16" i="6"/>
  <c r="O17" i="6"/>
  <c r="O18" i="6"/>
  <c r="O19" i="6"/>
  <c r="O20" i="6"/>
  <c r="O21" i="6"/>
  <c r="O22" i="6"/>
  <c r="O23" i="6"/>
  <c r="O24" i="6"/>
  <c r="O25" i="6"/>
  <c r="O26" i="6"/>
  <c r="O27" i="6"/>
  <c r="O18" i="5"/>
  <c r="O19" i="5"/>
  <c r="O20" i="5"/>
  <c r="O21" i="5"/>
  <c r="O22" i="5"/>
  <c r="O23" i="5"/>
  <c r="O24" i="5"/>
  <c r="O25" i="5"/>
  <c r="O26" i="5"/>
  <c r="O27" i="5"/>
  <c r="O17" i="5"/>
  <c r="O16" i="5"/>
  <c r="E18" i="5"/>
  <c r="E19" i="5"/>
  <c r="E20" i="5"/>
  <c r="E21" i="5"/>
  <c r="E22" i="5"/>
  <c r="E23" i="5"/>
  <c r="E24" i="5"/>
  <c r="E25" i="5"/>
  <c r="E26" i="5"/>
  <c r="E27" i="5"/>
  <c r="E17" i="5"/>
  <c r="E16" i="5"/>
  <c r="O18" i="4"/>
  <c r="O19" i="4"/>
  <c r="O20" i="4"/>
  <c r="O21" i="4"/>
  <c r="O22" i="4"/>
  <c r="O23" i="4"/>
  <c r="O24" i="4"/>
  <c r="O25" i="4"/>
  <c r="O26" i="4"/>
  <c r="O27" i="4"/>
  <c r="O17" i="4"/>
  <c r="O16" i="4"/>
  <c r="E18" i="4"/>
  <c r="E19" i="4"/>
  <c r="E20" i="4"/>
  <c r="E21" i="4"/>
  <c r="E22" i="4"/>
  <c r="E23" i="4"/>
  <c r="E24" i="4"/>
  <c r="E25" i="4"/>
  <c r="E26" i="4"/>
  <c r="E27" i="4"/>
  <c r="E17" i="4"/>
  <c r="E16" i="4"/>
  <c r="O16" i="3"/>
  <c r="O17" i="3"/>
  <c r="O18" i="3"/>
  <c r="O19" i="3"/>
  <c r="O20" i="3"/>
  <c r="O21" i="3"/>
  <c r="O22" i="3"/>
  <c r="O23" i="3"/>
  <c r="O24" i="3"/>
  <c r="O25" i="3"/>
  <c r="O26" i="3"/>
  <c r="O27" i="3"/>
  <c r="E17" i="3"/>
  <c r="E18" i="3"/>
  <c r="E19" i="3"/>
  <c r="E20" i="3"/>
  <c r="E21" i="3"/>
  <c r="E22" i="3"/>
  <c r="E23" i="3"/>
  <c r="E24" i="3"/>
  <c r="E25" i="3"/>
  <c r="E26" i="3"/>
  <c r="E27" i="3"/>
  <c r="E16" i="3"/>
  <c r="O15" i="5"/>
  <c r="E15" i="5"/>
  <c r="O15" i="4"/>
  <c r="E15" i="4"/>
  <c r="O15" i="6"/>
  <c r="E15" i="6"/>
  <c r="O15" i="3"/>
  <c r="E15" i="3"/>
  <c r="O14" i="5"/>
  <c r="O14" i="4"/>
  <c r="O14" i="6"/>
  <c r="O14" i="3"/>
  <c r="E14" i="5"/>
  <c r="E14" i="4"/>
  <c r="E14" i="6"/>
  <c r="E14" i="3"/>
  <c r="E13" i="5"/>
  <c r="E13" i="4"/>
  <c r="O13" i="5"/>
  <c r="O13" i="4"/>
  <c r="O13" i="6"/>
  <c r="O13" i="3"/>
  <c r="R13" i="3"/>
  <c r="E13" i="3"/>
  <c r="E13" i="6"/>
  <c r="O12" i="5"/>
  <c r="E12" i="5"/>
  <c r="O11" i="5"/>
  <c r="E11" i="5"/>
  <c r="O10" i="5"/>
  <c r="E10" i="5"/>
  <c r="O9" i="5"/>
  <c r="E9" i="5"/>
  <c r="O8" i="5"/>
  <c r="E8" i="5"/>
  <c r="O7" i="5"/>
  <c r="E7" i="5"/>
  <c r="O6" i="5"/>
  <c r="E6" i="5"/>
  <c r="O5" i="5"/>
  <c r="E5" i="5"/>
  <c r="O4" i="5"/>
  <c r="E4" i="5"/>
  <c r="O12" i="4"/>
  <c r="E12" i="4"/>
  <c r="O11" i="4"/>
  <c r="E11" i="4"/>
  <c r="O10" i="4"/>
  <c r="E10" i="4"/>
  <c r="O9" i="4"/>
  <c r="E9" i="4"/>
  <c r="O8" i="4"/>
  <c r="E8" i="4"/>
  <c r="O7" i="4"/>
  <c r="E7" i="4"/>
  <c r="O6" i="4"/>
  <c r="E6" i="4"/>
  <c r="O5" i="4"/>
  <c r="E5" i="4"/>
  <c r="O4" i="4"/>
  <c r="E4" i="4"/>
  <c r="O12" i="6"/>
  <c r="E12" i="6"/>
  <c r="O11" i="6"/>
  <c r="E11" i="6"/>
  <c r="O10" i="6"/>
  <c r="E10" i="6"/>
  <c r="O9" i="6"/>
  <c r="E9" i="6"/>
  <c r="O8" i="6"/>
  <c r="E8" i="6"/>
  <c r="O7" i="6"/>
  <c r="E7" i="6"/>
  <c r="O6" i="6"/>
  <c r="E6" i="6"/>
  <c r="O5" i="6"/>
  <c r="E5" i="6"/>
  <c r="O4" i="6"/>
  <c r="E4" i="6"/>
  <c r="O6" i="3"/>
  <c r="O7" i="3"/>
  <c r="O8" i="3"/>
  <c r="O9" i="3"/>
  <c r="O10" i="3"/>
  <c r="O11" i="3"/>
  <c r="O12" i="3"/>
  <c r="E9" i="3"/>
  <c r="E5" i="3"/>
  <c r="E6" i="3"/>
  <c r="E7" i="3"/>
  <c r="E8" i="3"/>
  <c r="E10" i="3"/>
  <c r="E11" i="3"/>
  <c r="E12" i="3"/>
  <c r="E4" i="3"/>
  <c r="V28" i="5" l="1"/>
  <c r="W28" i="5"/>
  <c r="U28" i="5"/>
  <c r="I28" i="4"/>
  <c r="V28" i="4"/>
  <c r="U28" i="3"/>
  <c r="W28" i="3" s="1"/>
  <c r="S5" i="3"/>
  <c r="R24" i="5"/>
  <c r="R7" i="3"/>
  <c r="R22" i="3"/>
  <c r="R15" i="6"/>
  <c r="S15" i="6" s="1"/>
  <c r="R22" i="6"/>
  <c r="S22" i="6" s="1"/>
  <c r="T22" i="6" s="1"/>
  <c r="R4" i="3"/>
  <c r="S4" i="3" s="1"/>
  <c r="T4" i="3" s="1"/>
  <c r="R14" i="3"/>
  <c r="R4" i="6"/>
  <c r="S4" i="6" s="1"/>
  <c r="T4" i="6" s="1"/>
  <c r="R14" i="6"/>
  <c r="R4" i="4"/>
  <c r="S4" i="4" s="1"/>
  <c r="R14" i="4"/>
  <c r="S14" i="4" s="1"/>
  <c r="R14" i="5"/>
  <c r="S14" i="5" s="1"/>
  <c r="R23" i="6"/>
  <c r="S23" i="6" s="1"/>
  <c r="V23" i="6" s="1"/>
  <c r="R23" i="4"/>
  <c r="S23" i="4" s="1"/>
  <c r="T23" i="4" s="1"/>
  <c r="H15" i="6"/>
  <c r="H7" i="6"/>
  <c r="H4" i="3"/>
  <c r="I25" i="5"/>
  <c r="J25" i="5" s="1"/>
  <c r="I4" i="3"/>
  <c r="R13" i="6"/>
  <c r="R5" i="6"/>
  <c r="S5" i="6" s="1"/>
  <c r="R13" i="4"/>
  <c r="R21" i="4"/>
  <c r="S21" i="4" s="1"/>
  <c r="T21" i="4" s="1"/>
  <c r="R19" i="6"/>
  <c r="S19" i="6" s="1"/>
  <c r="T19" i="6" s="1"/>
  <c r="R18" i="6"/>
  <c r="S18" i="6" s="1"/>
  <c r="V18" i="6" s="1"/>
  <c r="R10" i="5"/>
  <c r="S10" i="5" s="1"/>
  <c r="T10" i="5" s="1"/>
  <c r="H8" i="6"/>
  <c r="I8" i="6" s="1"/>
  <c r="H8" i="5"/>
  <c r="I8" i="5" s="1"/>
  <c r="H13" i="5"/>
  <c r="I13" i="5" s="1"/>
  <c r="J13" i="5" s="1"/>
  <c r="H11" i="5"/>
  <c r="I11" i="5" s="1"/>
  <c r="J11" i="5" s="1"/>
  <c r="H22" i="3"/>
  <c r="I22" i="3" s="1"/>
  <c r="U22" i="3" s="1"/>
  <c r="H5" i="3"/>
  <c r="I5" i="3" s="1"/>
  <c r="U5" i="3" s="1"/>
  <c r="R26" i="4"/>
  <c r="S26" i="4" s="1"/>
  <c r="T26" i="4" s="1"/>
  <c r="R25" i="4"/>
  <c r="H22" i="6"/>
  <c r="H22" i="5"/>
  <c r="I22" i="5" s="1"/>
  <c r="J22" i="5" s="1"/>
  <c r="H22" i="4"/>
  <c r="I22" i="4" s="1"/>
  <c r="U22" i="4" s="1"/>
  <c r="H23" i="4"/>
  <c r="I23" i="4" s="1"/>
  <c r="H23" i="6"/>
  <c r="I23" i="6" s="1"/>
  <c r="J23" i="6" s="1"/>
  <c r="H23" i="5"/>
  <c r="I23" i="5" s="1"/>
  <c r="I22" i="6"/>
  <c r="J22" i="6" s="1"/>
  <c r="R26" i="3"/>
  <c r="S26" i="3" s="1"/>
  <c r="T26" i="3" s="1"/>
  <c r="R25" i="3"/>
  <c r="S25" i="3" s="1"/>
  <c r="V25" i="3" s="1"/>
  <c r="R24" i="3"/>
  <c r="S24" i="3" s="1"/>
  <c r="T24" i="3" s="1"/>
  <c r="R27" i="4"/>
  <c r="S27" i="4" s="1"/>
  <c r="T27" i="4" s="1"/>
  <c r="R26" i="5"/>
  <c r="S26" i="5" s="1"/>
  <c r="T26" i="5" s="1"/>
  <c r="R10" i="4"/>
  <c r="S10" i="4" s="1"/>
  <c r="R25" i="5"/>
  <c r="S25" i="5" s="1"/>
  <c r="T25" i="5" s="1"/>
  <c r="R9" i="4"/>
  <c r="S9" i="4" s="1"/>
  <c r="R8" i="6"/>
  <c r="S8" i="6" s="1"/>
  <c r="R7" i="6"/>
  <c r="S7" i="6" s="1"/>
  <c r="H4" i="4"/>
  <c r="I4" i="4" s="1"/>
  <c r="H6" i="4"/>
  <c r="I6" i="4" s="1"/>
  <c r="H14" i="4"/>
  <c r="I14" i="4" s="1"/>
  <c r="H4" i="5"/>
  <c r="I4" i="5" s="1"/>
  <c r="H6" i="5"/>
  <c r="I6" i="5" s="1"/>
  <c r="H21" i="4"/>
  <c r="I21" i="4" s="1"/>
  <c r="J21" i="4" s="1"/>
  <c r="H5" i="4"/>
  <c r="I5" i="4" s="1"/>
  <c r="H5" i="5"/>
  <c r="I5" i="5" s="1"/>
  <c r="J5" i="5" s="1"/>
  <c r="H24" i="3"/>
  <c r="I24" i="3" s="1"/>
  <c r="U24" i="3" s="1"/>
  <c r="H12" i="3"/>
  <c r="I12" i="3" s="1"/>
  <c r="J12" i="3" s="1"/>
  <c r="H24" i="5"/>
  <c r="I24" i="5" s="1"/>
  <c r="J24" i="5" s="1"/>
  <c r="H4" i="6"/>
  <c r="I4" i="6" s="1"/>
  <c r="H6" i="6"/>
  <c r="H14" i="6"/>
  <c r="I14" i="6" s="1"/>
  <c r="H21" i="6"/>
  <c r="I21" i="6" s="1"/>
  <c r="J21" i="6" s="1"/>
  <c r="H5" i="6"/>
  <c r="I5" i="6" s="1"/>
  <c r="H12" i="5"/>
  <c r="I12" i="5" s="1"/>
  <c r="H14" i="3"/>
  <c r="I14" i="3" s="1"/>
  <c r="J14" i="3" s="1"/>
  <c r="H13" i="3"/>
  <c r="I13" i="3" s="1"/>
  <c r="J13" i="3" s="1"/>
  <c r="H13" i="4"/>
  <c r="I13" i="4" s="1"/>
  <c r="H11" i="6"/>
  <c r="I11" i="6" s="1"/>
  <c r="I26" i="6"/>
  <c r="U26" i="6" s="1"/>
  <c r="H11" i="4"/>
  <c r="H10" i="6"/>
  <c r="I10" i="6" s="1"/>
  <c r="H25" i="4"/>
  <c r="I25" i="4" s="1"/>
  <c r="J25" i="4" s="1"/>
  <c r="H27" i="3"/>
  <c r="I27" i="3" s="1"/>
  <c r="U27" i="3" s="1"/>
  <c r="H11" i="3"/>
  <c r="I11" i="3" s="1"/>
  <c r="J11" i="3" s="1"/>
  <c r="H6" i="3"/>
  <c r="I6" i="3" s="1"/>
  <c r="J6" i="3" s="1"/>
  <c r="H10" i="5"/>
  <c r="I10" i="5" s="1"/>
  <c r="H16" i="4"/>
  <c r="I16" i="4" s="1"/>
  <c r="U16" i="4" s="1"/>
  <c r="H16" i="5"/>
  <c r="I16" i="5" s="1"/>
  <c r="H24" i="6"/>
  <c r="I24" i="6" s="1"/>
  <c r="J24" i="6" s="1"/>
  <c r="H9" i="4"/>
  <c r="I9" i="4" s="1"/>
  <c r="H16" i="3"/>
  <c r="I16" i="3" s="1"/>
  <c r="H15" i="3"/>
  <c r="I15" i="3" s="1"/>
  <c r="H26" i="4"/>
  <c r="I26" i="4" s="1"/>
  <c r="U26" i="4" s="1"/>
  <c r="H24" i="4"/>
  <c r="I24" i="4" s="1"/>
  <c r="J24" i="4" s="1"/>
  <c r="H27" i="6"/>
  <c r="I27" i="6" s="1"/>
  <c r="U27" i="6" s="1"/>
  <c r="H18" i="4"/>
  <c r="I18" i="4" s="1"/>
  <c r="U18" i="4" s="1"/>
  <c r="H17" i="3"/>
  <c r="I17" i="3" s="1"/>
  <c r="U17" i="3" s="1"/>
  <c r="H15" i="4"/>
  <c r="I15" i="4" s="1"/>
  <c r="H15" i="5"/>
  <c r="I15" i="5" s="1"/>
  <c r="R20" i="5"/>
  <c r="S20" i="5" s="1"/>
  <c r="T20" i="5" s="1"/>
  <c r="R19" i="5"/>
  <c r="S19" i="5" s="1"/>
  <c r="R18" i="5"/>
  <c r="S18" i="5" s="1"/>
  <c r="V18" i="5" s="1"/>
  <c r="R17" i="5"/>
  <c r="S17" i="5" s="1"/>
  <c r="S5" i="5"/>
  <c r="V5" i="5" s="1"/>
  <c r="S21" i="5"/>
  <c r="T21" i="5" s="1"/>
  <c r="H20" i="5"/>
  <c r="I20" i="5" s="1"/>
  <c r="J20" i="5" s="1"/>
  <c r="H19" i="5"/>
  <c r="I19" i="5" s="1"/>
  <c r="J19" i="5" s="1"/>
  <c r="H18" i="5"/>
  <c r="I18" i="5" s="1"/>
  <c r="U18" i="5" s="1"/>
  <c r="H17" i="5"/>
  <c r="I17" i="5" s="1"/>
  <c r="R20" i="4"/>
  <c r="S20" i="4" s="1"/>
  <c r="T20" i="4" s="1"/>
  <c r="R19" i="4"/>
  <c r="S19" i="4" s="1"/>
  <c r="R18" i="4"/>
  <c r="S18" i="4" s="1"/>
  <c r="T18" i="4" s="1"/>
  <c r="R17" i="4"/>
  <c r="S17" i="4" s="1"/>
  <c r="T17" i="4" s="1"/>
  <c r="R16" i="4"/>
  <c r="S16" i="4" s="1"/>
  <c r="V16" i="4" s="1"/>
  <c r="R15" i="4"/>
  <c r="S15" i="4" s="1"/>
  <c r="H10" i="4"/>
  <c r="I10" i="4" s="1"/>
  <c r="H8" i="4"/>
  <c r="I8" i="4" s="1"/>
  <c r="H20" i="4"/>
  <c r="I20" i="4" s="1"/>
  <c r="J20" i="4" s="1"/>
  <c r="H7" i="4"/>
  <c r="I7" i="4" s="1"/>
  <c r="U7" i="4" s="1"/>
  <c r="H19" i="4"/>
  <c r="I19" i="4" s="1"/>
  <c r="H17" i="4"/>
  <c r="I17" i="4" s="1"/>
  <c r="J17" i="4" s="1"/>
  <c r="I27" i="4"/>
  <c r="J27" i="4" s="1"/>
  <c r="R24" i="6"/>
  <c r="S24" i="6" s="1"/>
  <c r="V24" i="6" s="1"/>
  <c r="R26" i="6"/>
  <c r="S26" i="6" s="1"/>
  <c r="T26" i="6" s="1"/>
  <c r="R27" i="6"/>
  <c r="S27" i="6" s="1"/>
  <c r="T27" i="6" s="1"/>
  <c r="R25" i="6"/>
  <c r="S25" i="6" s="1"/>
  <c r="T25" i="6" s="1"/>
  <c r="R9" i="6"/>
  <c r="R20" i="6"/>
  <c r="S20" i="6" s="1"/>
  <c r="V20" i="6" s="1"/>
  <c r="R10" i="6"/>
  <c r="S10" i="6" s="1"/>
  <c r="R17" i="6"/>
  <c r="H25" i="6"/>
  <c r="I25" i="6" s="1"/>
  <c r="J25" i="6" s="1"/>
  <c r="H20" i="6"/>
  <c r="I20" i="6" s="1"/>
  <c r="U20" i="6" s="1"/>
  <c r="H19" i="6"/>
  <c r="I19" i="6" s="1"/>
  <c r="J19" i="6" s="1"/>
  <c r="H18" i="6"/>
  <c r="I18" i="6" s="1"/>
  <c r="U18" i="6" s="1"/>
  <c r="H17" i="6"/>
  <c r="I17" i="6" s="1"/>
  <c r="U17" i="6" s="1"/>
  <c r="H16" i="6"/>
  <c r="I16" i="6" s="1"/>
  <c r="U16" i="6" s="1"/>
  <c r="I27" i="5"/>
  <c r="J27" i="5" s="1"/>
  <c r="S24" i="5"/>
  <c r="T24" i="5" s="1"/>
  <c r="S23" i="3"/>
  <c r="T23" i="3" s="1"/>
  <c r="S22" i="3"/>
  <c r="T22" i="3" s="1"/>
  <c r="R27" i="3"/>
  <c r="S27" i="3" s="1"/>
  <c r="R20" i="3"/>
  <c r="S20" i="3" s="1"/>
  <c r="T20" i="3" s="1"/>
  <c r="R19" i="3"/>
  <c r="S19" i="3" s="1"/>
  <c r="T19" i="3" s="1"/>
  <c r="R15" i="3"/>
  <c r="S15" i="3" s="1"/>
  <c r="R18" i="3"/>
  <c r="S18" i="3" s="1"/>
  <c r="V18" i="3" s="1"/>
  <c r="R17" i="3"/>
  <c r="S17" i="3" s="1"/>
  <c r="V17" i="3" s="1"/>
  <c r="R16" i="3"/>
  <c r="S16" i="3" s="1"/>
  <c r="V16" i="3" s="1"/>
  <c r="S21" i="3"/>
  <c r="V21" i="3" s="1"/>
  <c r="H23" i="3"/>
  <c r="I23" i="3" s="1"/>
  <c r="J23" i="3" s="1"/>
  <c r="H25" i="3"/>
  <c r="I25" i="3" s="1"/>
  <c r="U25" i="3" s="1"/>
  <c r="H26" i="3"/>
  <c r="I26" i="3" s="1"/>
  <c r="U26" i="3" s="1"/>
  <c r="H10" i="3"/>
  <c r="I10" i="3" s="1"/>
  <c r="J10" i="3" s="1"/>
  <c r="H9" i="3"/>
  <c r="I9" i="3" s="1"/>
  <c r="J9" i="3" s="1"/>
  <c r="H8" i="3"/>
  <c r="I8" i="3" s="1"/>
  <c r="J8" i="3" s="1"/>
  <c r="H20" i="3"/>
  <c r="I20" i="3" s="1"/>
  <c r="U20" i="3" s="1"/>
  <c r="H19" i="3"/>
  <c r="I19" i="3" s="1"/>
  <c r="U19" i="3" s="1"/>
  <c r="H7" i="3"/>
  <c r="I7" i="3" s="1"/>
  <c r="J7" i="3" s="1"/>
  <c r="H18" i="3"/>
  <c r="I18" i="3" s="1"/>
  <c r="J18" i="3" s="1"/>
  <c r="T5" i="3"/>
  <c r="V5" i="3"/>
  <c r="J4" i="3"/>
  <c r="U4" i="3"/>
  <c r="I21" i="5"/>
  <c r="J21" i="5" s="1"/>
  <c r="S21" i="6"/>
  <c r="V21" i="6" s="1"/>
  <c r="I21" i="3"/>
  <c r="U21" i="3" s="1"/>
  <c r="S22" i="4"/>
  <c r="V22" i="4" s="1"/>
  <c r="S24" i="4"/>
  <c r="T24" i="4" s="1"/>
  <c r="S25" i="4"/>
  <c r="T25" i="4" s="1"/>
  <c r="S15" i="5"/>
  <c r="T15" i="5" s="1"/>
  <c r="S22" i="5"/>
  <c r="I26" i="5"/>
  <c r="J26" i="5" s="1"/>
  <c r="S27" i="5"/>
  <c r="T27" i="5" s="1"/>
  <c r="S23" i="5"/>
  <c r="S9" i="5"/>
  <c r="V9" i="5" s="1"/>
  <c r="S17" i="6"/>
  <c r="T17" i="6" s="1"/>
  <c r="S16" i="5"/>
  <c r="V16" i="5" s="1"/>
  <c r="I14" i="5"/>
  <c r="J14" i="5" s="1"/>
  <c r="S16" i="6"/>
  <c r="V16" i="6" s="1"/>
  <c r="S14" i="6"/>
  <c r="I15" i="6"/>
  <c r="I6" i="6"/>
  <c r="U6" i="6" s="1"/>
  <c r="S14" i="3"/>
  <c r="I7" i="6"/>
  <c r="S11" i="5"/>
  <c r="S6" i="6"/>
  <c r="S13" i="5"/>
  <c r="I9" i="6"/>
  <c r="S4" i="5"/>
  <c r="S12" i="5"/>
  <c r="S8" i="4"/>
  <c r="S13" i="4"/>
  <c r="S5" i="4"/>
  <c r="S12" i="4"/>
  <c r="I11" i="4"/>
  <c r="S6" i="4"/>
  <c r="S13" i="6"/>
  <c r="I13" i="6"/>
  <c r="S11" i="6"/>
  <c r="S12" i="6"/>
  <c r="S13" i="3"/>
  <c r="I9" i="5"/>
  <c r="S8" i="5"/>
  <c r="T8" i="5" s="1"/>
  <c r="I7" i="5"/>
  <c r="S9" i="6"/>
  <c r="S9" i="3"/>
  <c r="S6" i="5"/>
  <c r="T6" i="5" s="1"/>
  <c r="S7" i="5"/>
  <c r="T7" i="5" s="1"/>
  <c r="I12" i="4"/>
  <c r="S11" i="4"/>
  <c r="S7" i="4"/>
  <c r="I12" i="6"/>
  <c r="S12" i="3"/>
  <c r="S11" i="3"/>
  <c r="S10" i="3"/>
  <c r="S8" i="3"/>
  <c r="S7" i="3"/>
  <c r="S6" i="3"/>
  <c r="C28" i="10" l="1"/>
  <c r="E28" i="10" s="1"/>
  <c r="J28" i="6"/>
  <c r="U25" i="5"/>
  <c r="J28" i="4"/>
  <c r="U28" i="4"/>
  <c r="W28" i="4" s="1"/>
  <c r="V4" i="3"/>
  <c r="W5" i="3"/>
  <c r="V23" i="3"/>
  <c r="J5" i="3"/>
  <c r="T27" i="3"/>
  <c r="V27" i="3"/>
  <c r="W27" i="3" s="1"/>
  <c r="T25" i="3"/>
  <c r="V25" i="6"/>
  <c r="W24" i="5"/>
  <c r="U24" i="5"/>
  <c r="U22" i="5"/>
  <c r="V22" i="3"/>
  <c r="V22" i="6"/>
  <c r="W22" i="6" s="1"/>
  <c r="U22" i="6"/>
  <c r="U23" i="6"/>
  <c r="W23" i="6" s="1"/>
  <c r="W22" i="5"/>
  <c r="V21" i="5"/>
  <c r="V26" i="5"/>
  <c r="T5" i="5"/>
  <c r="V27" i="6"/>
  <c r="W27" i="6" s="1"/>
  <c r="T23" i="6"/>
  <c r="T21" i="3"/>
  <c r="J24" i="3"/>
  <c r="U21" i="5"/>
  <c r="U27" i="4"/>
  <c r="W22" i="4"/>
  <c r="J27" i="6"/>
  <c r="J26" i="6"/>
  <c r="U25" i="4"/>
  <c r="U21" i="4"/>
  <c r="V20" i="5"/>
  <c r="V24" i="5"/>
  <c r="U27" i="5"/>
  <c r="J18" i="5"/>
  <c r="W21" i="5"/>
  <c r="V25" i="4"/>
  <c r="V23" i="4"/>
  <c r="J22" i="4"/>
  <c r="T21" i="6"/>
  <c r="V26" i="6"/>
  <c r="W26" i="6" s="1"/>
  <c r="T24" i="6"/>
  <c r="T20" i="6"/>
  <c r="U25" i="6"/>
  <c r="U24" i="6"/>
  <c r="W24" i="6" s="1"/>
  <c r="V22" i="5"/>
  <c r="W20" i="5"/>
  <c r="V25" i="5"/>
  <c r="T22" i="5"/>
  <c r="U20" i="5"/>
  <c r="W15" i="5"/>
  <c r="V15" i="5"/>
  <c r="W25" i="5"/>
  <c r="W26" i="5"/>
  <c r="W27" i="5"/>
  <c r="U26" i="5"/>
  <c r="V27" i="5"/>
  <c r="V24" i="4"/>
  <c r="J26" i="4"/>
  <c r="T22" i="4"/>
  <c r="U24" i="4"/>
  <c r="W24" i="4" s="1"/>
  <c r="U20" i="4"/>
  <c r="U21" i="6"/>
  <c r="W21" i="6" s="1"/>
  <c r="W20" i="6"/>
  <c r="V19" i="3"/>
  <c r="W19" i="3" s="1"/>
  <c r="T17" i="3"/>
  <c r="U23" i="3"/>
  <c r="T18" i="3"/>
  <c r="W4" i="3"/>
  <c r="U18" i="3"/>
  <c r="W18" i="3" s="1"/>
  <c r="J22" i="3"/>
  <c r="J19" i="3"/>
  <c r="J26" i="3"/>
  <c r="J25" i="3"/>
  <c r="J27" i="3"/>
  <c r="T16" i="3"/>
  <c r="W25" i="3"/>
  <c r="W22" i="3"/>
  <c r="V24" i="3"/>
  <c r="W24" i="3" s="1"/>
  <c r="V26" i="3"/>
  <c r="W26" i="3" s="1"/>
  <c r="V20" i="3"/>
  <c r="W20" i="3" s="1"/>
  <c r="J20" i="3"/>
  <c r="V21" i="4"/>
  <c r="W21" i="3"/>
  <c r="J21" i="3"/>
  <c r="V20" i="4"/>
  <c r="J20" i="6"/>
  <c r="V19" i="6"/>
  <c r="U19" i="6"/>
  <c r="T18" i="5"/>
  <c r="W18" i="5"/>
  <c r="V18" i="4"/>
  <c r="W18" i="4" s="1"/>
  <c r="W18" i="6"/>
  <c r="J18" i="4"/>
  <c r="J18" i="6"/>
  <c r="W14" i="5"/>
  <c r="U14" i="5"/>
  <c r="V27" i="4"/>
  <c r="V26" i="4"/>
  <c r="W26" i="4" s="1"/>
  <c r="U14" i="3"/>
  <c r="J16" i="3"/>
  <c r="U16" i="3"/>
  <c r="W16" i="3" s="1"/>
  <c r="T18" i="6"/>
  <c r="W16" i="4"/>
  <c r="V17" i="6"/>
  <c r="U19" i="5"/>
  <c r="T23" i="5"/>
  <c r="V23" i="5"/>
  <c r="T19" i="5"/>
  <c r="V19" i="5"/>
  <c r="W19" i="5"/>
  <c r="T9" i="5"/>
  <c r="W16" i="5"/>
  <c r="U16" i="5"/>
  <c r="J23" i="5"/>
  <c r="U23" i="5"/>
  <c r="W23" i="5"/>
  <c r="T19" i="4"/>
  <c r="V19" i="4"/>
  <c r="J23" i="4"/>
  <c r="U23" i="4"/>
  <c r="J19" i="4"/>
  <c r="U19" i="4"/>
  <c r="W17" i="6"/>
  <c r="W16" i="6"/>
  <c r="J17" i="6"/>
  <c r="V17" i="4"/>
  <c r="U17" i="4"/>
  <c r="T17" i="5"/>
  <c r="V17" i="5"/>
  <c r="J17" i="5"/>
  <c r="W17" i="5"/>
  <c r="U17" i="5"/>
  <c r="J17" i="3"/>
  <c r="W17" i="3"/>
  <c r="T16" i="5"/>
  <c r="T16" i="4"/>
  <c r="T16" i="6"/>
  <c r="J16" i="5"/>
  <c r="J16" i="4"/>
  <c r="J16" i="6"/>
  <c r="J15" i="5"/>
  <c r="U15" i="5"/>
  <c r="T15" i="6"/>
  <c r="V15" i="6"/>
  <c r="J15" i="6"/>
  <c r="U15" i="6"/>
  <c r="J6" i="6"/>
  <c r="T15" i="3"/>
  <c r="V15" i="3"/>
  <c r="J15" i="3"/>
  <c r="U15" i="3"/>
  <c r="T14" i="5"/>
  <c r="V14" i="5"/>
  <c r="J15" i="4"/>
  <c r="U15" i="4"/>
  <c r="T15" i="4"/>
  <c r="V15" i="4"/>
  <c r="T14" i="4"/>
  <c r="V14" i="4"/>
  <c r="J14" i="4"/>
  <c r="U14" i="4"/>
  <c r="J7" i="4"/>
  <c r="T14" i="6"/>
  <c r="V14" i="6"/>
  <c r="J14" i="6"/>
  <c r="U14" i="6"/>
  <c r="T14" i="3"/>
  <c r="V14" i="3"/>
  <c r="V4" i="5"/>
  <c r="T4" i="5"/>
  <c r="V11" i="5"/>
  <c r="T11" i="5"/>
  <c r="V11" i="4"/>
  <c r="T11" i="4"/>
  <c r="V7" i="4"/>
  <c r="W7" i="4" s="1"/>
  <c r="T7" i="4"/>
  <c r="V13" i="4"/>
  <c r="T13" i="4"/>
  <c r="V9" i="4"/>
  <c r="T9" i="4"/>
  <c r="V10" i="4"/>
  <c r="T10" i="4"/>
  <c r="V5" i="4"/>
  <c r="T5" i="4"/>
  <c r="V8" i="4"/>
  <c r="T8" i="4"/>
  <c r="V6" i="4"/>
  <c r="T6" i="4"/>
  <c r="V12" i="4"/>
  <c r="T12" i="4"/>
  <c r="V4" i="4"/>
  <c r="T4" i="4"/>
  <c r="V13" i="5"/>
  <c r="T13" i="5"/>
  <c r="V12" i="5"/>
  <c r="T12" i="5"/>
  <c r="U12" i="5"/>
  <c r="J12" i="5"/>
  <c r="U7" i="5"/>
  <c r="J7" i="5"/>
  <c r="U6" i="5"/>
  <c r="J6" i="5"/>
  <c r="U4" i="5"/>
  <c r="J4" i="5"/>
  <c r="U10" i="5"/>
  <c r="J10" i="5"/>
  <c r="U9" i="5"/>
  <c r="J9" i="5"/>
  <c r="U8" i="5"/>
  <c r="J8" i="5"/>
  <c r="U10" i="4"/>
  <c r="J10" i="4"/>
  <c r="U11" i="4"/>
  <c r="J11" i="4"/>
  <c r="U5" i="4"/>
  <c r="J5" i="4"/>
  <c r="U8" i="4"/>
  <c r="J8" i="4"/>
  <c r="U13" i="4"/>
  <c r="J13" i="4"/>
  <c r="U4" i="4"/>
  <c r="J4" i="4"/>
  <c r="U6" i="4"/>
  <c r="J6" i="4"/>
  <c r="U12" i="4"/>
  <c r="J12" i="4"/>
  <c r="U9" i="4"/>
  <c r="J9" i="4"/>
  <c r="V13" i="6"/>
  <c r="T13" i="6"/>
  <c r="V6" i="6"/>
  <c r="W6" i="6" s="1"/>
  <c r="T6" i="6"/>
  <c r="V9" i="6"/>
  <c r="T9" i="6"/>
  <c r="V11" i="6"/>
  <c r="T11" i="6"/>
  <c r="V5" i="6"/>
  <c r="T5" i="6"/>
  <c r="V7" i="6"/>
  <c r="T7" i="6"/>
  <c r="V8" i="6"/>
  <c r="T8" i="6"/>
  <c r="V10" i="6"/>
  <c r="T10" i="6"/>
  <c r="V12" i="6"/>
  <c r="T12" i="6"/>
  <c r="V4" i="6"/>
  <c r="U8" i="6"/>
  <c r="J8" i="6"/>
  <c r="U9" i="6"/>
  <c r="J9" i="6"/>
  <c r="U13" i="6"/>
  <c r="J13" i="6"/>
  <c r="U11" i="6"/>
  <c r="J11" i="6"/>
  <c r="U5" i="6"/>
  <c r="J5" i="6"/>
  <c r="U10" i="6"/>
  <c r="J10" i="6"/>
  <c r="U4" i="6"/>
  <c r="J4" i="6"/>
  <c r="U12" i="6"/>
  <c r="J12" i="6"/>
  <c r="U7" i="6"/>
  <c r="J7" i="6"/>
  <c r="V10" i="3"/>
  <c r="T10" i="3"/>
  <c r="V12" i="3"/>
  <c r="T12" i="3"/>
  <c r="V7" i="3"/>
  <c r="T7" i="3"/>
  <c r="V9" i="3"/>
  <c r="T9" i="3"/>
  <c r="V11" i="3"/>
  <c r="T11" i="3"/>
  <c r="V13" i="3"/>
  <c r="T13" i="3"/>
  <c r="V6" i="3"/>
  <c r="T6" i="3"/>
  <c r="V8" i="3"/>
  <c r="T8" i="3"/>
  <c r="U9" i="3"/>
  <c r="U8" i="3"/>
  <c r="U7" i="3"/>
  <c r="U10" i="3"/>
  <c r="U6" i="3"/>
  <c r="U11" i="3"/>
  <c r="U13" i="3"/>
  <c r="U12" i="3"/>
  <c r="U13" i="5"/>
  <c r="W13" i="5"/>
  <c r="W4" i="5"/>
  <c r="W12" i="5"/>
  <c r="W9" i="5"/>
  <c r="U5" i="5"/>
  <c r="W5" i="5"/>
  <c r="W11" i="5"/>
  <c r="U11" i="5"/>
  <c r="W10" i="5"/>
  <c r="V10" i="5"/>
  <c r="V7" i="5"/>
  <c r="W7" i="5"/>
  <c r="W6" i="5"/>
  <c r="V6" i="5"/>
  <c r="W8" i="5"/>
  <c r="V8" i="5"/>
  <c r="W23" i="3" l="1"/>
  <c r="C24" i="10"/>
  <c r="E24" i="10" s="1"/>
  <c r="W27" i="4"/>
  <c r="C27" i="10" s="1"/>
  <c r="E27" i="10" s="1"/>
  <c r="C26" i="10"/>
  <c r="E26" i="10" s="1"/>
  <c r="W25" i="6"/>
  <c r="W25" i="4"/>
  <c r="C25" i="10" s="1"/>
  <c r="E25" i="10" s="1"/>
  <c r="W23" i="4"/>
  <c r="C23" i="10" s="1"/>
  <c r="E23" i="10" s="1"/>
  <c r="C22" i="10"/>
  <c r="E22" i="10" s="1"/>
  <c r="W14" i="3"/>
  <c r="W9" i="6"/>
  <c r="W14" i="6"/>
  <c r="W21" i="4"/>
  <c r="C21" i="10" s="1"/>
  <c r="E21" i="10" s="1"/>
  <c r="C16" i="10"/>
  <c r="E16" i="10" s="1"/>
  <c r="C18" i="10"/>
  <c r="E18" i="10" s="1"/>
  <c r="W20" i="4"/>
  <c r="C20" i="10" s="1"/>
  <c r="E20" i="10" s="1"/>
  <c r="W19" i="6"/>
  <c r="W15" i="4"/>
  <c r="W12" i="6"/>
  <c r="W15" i="3"/>
  <c r="W8" i="4"/>
  <c r="W9" i="4"/>
  <c r="W14" i="4"/>
  <c r="W17" i="4"/>
  <c r="C17" i="10" s="1"/>
  <c r="E17" i="10" s="1"/>
  <c r="W15" i="6"/>
  <c r="W13" i="4"/>
  <c r="W19" i="4"/>
  <c r="W12" i="4"/>
  <c r="W13" i="6"/>
  <c r="W7" i="6"/>
  <c r="W5" i="4"/>
  <c r="W11" i="4"/>
  <c r="W9" i="3"/>
  <c r="W6" i="4"/>
  <c r="W4" i="4"/>
  <c r="W12" i="3"/>
  <c r="W8" i="3"/>
  <c r="W10" i="4"/>
  <c r="W10" i="6"/>
  <c r="W5" i="6"/>
  <c r="W11" i="6"/>
  <c r="W10" i="3"/>
  <c r="W6" i="3"/>
  <c r="W8" i="6"/>
  <c r="W4" i="6"/>
  <c r="W13" i="3"/>
  <c r="W11" i="3"/>
  <c r="W7" i="3"/>
  <c r="C14" i="10" l="1"/>
  <c r="E14" i="10" s="1"/>
  <c r="C11" i="10"/>
  <c r="E11" i="10" s="1"/>
  <c r="C12" i="10"/>
  <c r="E12" i="10" s="1"/>
  <c r="C19" i="10"/>
  <c r="E19" i="10" s="1"/>
  <c r="C7" i="10"/>
  <c r="E7" i="10" s="1"/>
  <c r="C13" i="10"/>
  <c r="E13" i="10" s="1"/>
  <c r="C8" i="10"/>
  <c r="E8" i="10" s="1"/>
  <c r="C15" i="10"/>
  <c r="E15" i="10" s="1"/>
  <c r="C4" i="10"/>
  <c r="E4" i="10" s="1"/>
  <c r="C9" i="10"/>
  <c r="E9" i="10" s="1"/>
  <c r="C10" i="10"/>
  <c r="E10" i="10" s="1"/>
  <c r="C6" i="10"/>
  <c r="E6" i="10" s="1"/>
  <c r="C5" i="10"/>
  <c r="E5" i="10" s="1"/>
</calcChain>
</file>

<file path=xl/sharedStrings.xml><?xml version="1.0" encoding="utf-8"?>
<sst xmlns="http://schemas.openxmlformats.org/spreadsheetml/2006/main" count="481" uniqueCount="49">
  <si>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</si>
  <si>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</si>
  <si>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</si>
  <si>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</si>
  <si>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</si>
  <si>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</si>
  <si>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</si>
  <si>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</si>
  <si>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</si>
  <si>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</si>
  <si>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TABLA DE CONTROL DE LECTURAS DEL SERVICIO DE LUZ</t>
  </si>
  <si>
    <t>Valor Unitario</t>
  </si>
  <si>
    <t>TABLA DE CONTROL DE LECTURAS DEL SERVICIO DE AGUA</t>
  </si>
  <si>
    <t>Importe Recibo</t>
  </si>
  <si>
    <t>Lectura Medidor Actual</t>
  </si>
  <si>
    <t>Consumo Medidor</t>
  </si>
  <si>
    <t>Lectura Medidor Anterior</t>
  </si>
  <si>
    <t>Consumo Recibo</t>
  </si>
  <si>
    <t>Total a Pagar</t>
  </si>
  <si>
    <t>RECIBO</t>
  </si>
  <si>
    <t>MEDIDOR</t>
  </si>
  <si>
    <t>TOTAL</t>
  </si>
  <si>
    <t>FECHA</t>
  </si>
  <si>
    <t>Año</t>
  </si>
  <si>
    <t>TOTALIZADOS</t>
  </si>
  <si>
    <t>RESULTADOS CONSUMOS</t>
  </si>
  <si>
    <t>Total Luz</t>
  </si>
  <si>
    <t>Total Agua</t>
  </si>
  <si>
    <t>Observaciones</t>
  </si>
  <si>
    <t>-</t>
  </si>
  <si>
    <t>ESTE MES HAY UN ACUERDO DE PAGO DE S/ 150.00</t>
  </si>
  <si>
    <t>SE REAJUSTA LA TARIFA DEL AGUA A 10.00</t>
  </si>
  <si>
    <t>Octubre</t>
  </si>
  <si>
    <t>Porcentaje de pago</t>
  </si>
  <si>
    <t>Noviembre</t>
  </si>
  <si>
    <t>Diciembre</t>
  </si>
  <si>
    <t>Fecha</t>
  </si>
  <si>
    <t>Recibo</t>
  </si>
  <si>
    <t>TABLA DE RECIBO DE LUZ</t>
  </si>
  <si>
    <t>TABLA DE RECIBO DE AGUA</t>
  </si>
  <si>
    <t>Total Recibos</t>
  </si>
  <si>
    <t>Total Calculado</t>
  </si>
  <si>
    <t>Calculos</t>
  </si>
  <si>
    <t>Resumen</t>
  </si>
  <si>
    <t>Diferencia</t>
  </si>
  <si>
    <t>Se agregó S/180 a luz y S/80 al agua para cuadrar montos finales. Total real: S/785.96</t>
  </si>
  <si>
    <t>El monto a pagar en este caso es S/. 1093.55, ya que se considera el ciclo normal del mes de Enero, mas los días de "saldo" no cobrados junto a los otros inquilinos.</t>
  </si>
  <si>
    <t>agua</t>
  </si>
  <si>
    <t>luz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</si>
</sst>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S/&quot;\ * #,##0.00_-;\-&quot;S/&quot;\ * #,##0.00_-;_-&quot;S/&quot;\ * &quot;-&quot;??_-;_-@_-"/>
    <numFmt numFmtId="164" formatCode="&quot;S/&quot;\ #,##0.00"/>
    <numFmt numFmtId="165" formatCode="_-[$S/-280A]\ * #,##0.00_-;\-[$S/-280A]\ * #,##0.00_-;_-[$S/-280A]\ 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4"/>
        <bgColor theme="5"/>
      </patternFill>
    </fill>
    <fill>
      <patternFill patternType="solid">
        <fgColor theme="4"/>
      </patternFill>
    </fill>
    <fill>
      <patternFill patternType="solid">
        <fgColor theme="1"/>
        <bgColor theme="1"/>
      </patternFill>
    </fill>
    <fill>
      <patternFill patternType="solid">
        <fgColor theme="5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theme="5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5"/>
      </left>
      <right/>
      <top style="thin">
        <color theme="5"/>
      </top>
      <bottom style="thin">
        <color theme="0"/>
      </bottom>
      <diagonal/>
    </border>
    <border>
      <left/>
      <right/>
      <top style="thin">
        <color theme="5"/>
      </top>
      <bottom style="thin">
        <color theme="0"/>
      </bottom>
      <diagonal/>
    </border>
    <border>
      <left/>
      <right style="thin">
        <color theme="5"/>
      </right>
      <top style="thin">
        <color theme="5"/>
      </top>
      <bottom style="thin">
        <color theme="0"/>
      </bottom>
      <diagonal/>
    </border>
    <border>
      <left/>
      <right style="thin">
        <color theme="5"/>
      </right>
      <top/>
      <bottom style="thin">
        <color theme="0"/>
      </bottom>
      <diagonal/>
    </border>
    <border>
      <left/>
      <right style="thin">
        <color theme="4"/>
      </right>
      <top/>
      <bottom/>
      <diagonal/>
    </border>
    <border>
      <left/>
      <right style="thin">
        <color theme="4"/>
      </right>
      <top/>
      <bottom style="thin">
        <color theme="0"/>
      </bottom>
      <diagonal/>
    </border>
    <border>
      <left style="thin">
        <color theme="5"/>
      </left>
      <right style="thin">
        <color theme="4"/>
      </right>
      <top/>
      <bottom/>
      <diagonal/>
    </border>
    <border>
      <left style="thin">
        <color theme="4"/>
      </left>
      <right/>
      <top style="thin">
        <color theme="4"/>
      </top>
      <bottom style="thin">
        <color theme="0"/>
      </bottom>
      <diagonal/>
    </border>
    <border>
      <left/>
      <right/>
      <top style="thin">
        <color theme="4"/>
      </top>
      <bottom style="thin">
        <color theme="0"/>
      </bottom>
      <diagonal/>
    </border>
    <border>
      <left/>
      <right style="thin">
        <color theme="4"/>
      </right>
      <top style="thin">
        <color theme="4"/>
      </top>
      <bottom style="thin">
        <color theme="0"/>
      </bottom>
      <diagonal/>
    </border>
    <border>
      <left style="thin">
        <color theme="1"/>
      </left>
      <right/>
      <top style="thin">
        <color theme="1"/>
      </top>
      <bottom style="thin">
        <color theme="0"/>
      </bottom>
      <diagonal/>
    </border>
    <border>
      <left/>
      <right/>
      <top style="thin">
        <color theme="1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3" fillId="4" borderId="0" applyNumberFormat="0" applyBorder="0" applyAlignment="0" applyProtection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3" fillId="6" borderId="0" applyNumberFormat="0" applyBorder="0" applyAlignment="0" applyProtection="0"/>
  </cellStyleXfs>
  <cellXfs count="65">
    <xf numFmtId="0" fontId="0" fillId="0" borderId="0" xfId="0"/>
    <xf numFmtId="1" fontId="0" fillId="0" borderId="0" xfId="0" applyNumberFormat="1"/>
    <xf numFmtId="164" fontId="2" fillId="0" borderId="0" xfId="0" applyNumberFormat="1" applyFont="1"/>
    <xf numFmtId="0" fontId="0" fillId="0" borderId="1" xfId="0" applyBorder="1"/>
    <xf numFmtId="1" fontId="2" fillId="0" borderId="0" xfId="0" applyNumberFormat="1" applyFont="1"/>
    <xf numFmtId="2" fontId="2" fillId="0" borderId="0" xfId="0" applyNumberFormat="1" applyFont="1"/>
    <xf numFmtId="49" fontId="1" fillId="2" borderId="11" xfId="0" applyNumberFormat="1" applyFont="1" applyFill="1" applyBorder="1" applyAlignment="1">
      <alignment horizontal="center"/>
    </xf>
    <xf numFmtId="164" fontId="0" fillId="0" borderId="0" xfId="0" applyNumberFormat="1"/>
    <xf numFmtId="14" fontId="0" fillId="0" borderId="0" xfId="0" applyNumberFormat="1"/>
    <xf numFmtId="0" fontId="0" fillId="0" borderId="14" xfId="0" applyBorder="1"/>
    <xf numFmtId="49" fontId="1" fillId="4" borderId="13" xfId="1" applyNumberFormat="1" applyFont="1" applyBorder="1" applyAlignment="1">
      <alignment horizontal="center"/>
    </xf>
    <xf numFmtId="1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9" fontId="0" fillId="0" borderId="12" xfId="2" applyFont="1" applyBorder="1"/>
    <xf numFmtId="9" fontId="0" fillId="0" borderId="0" xfId="2" applyFont="1"/>
    <xf numFmtId="0" fontId="3" fillId="0" borderId="0" xfId="0" applyFont="1"/>
    <xf numFmtId="165" fontId="0" fillId="0" borderId="0" xfId="0" applyNumberFormat="1"/>
    <xf numFmtId="165" fontId="0" fillId="0" borderId="0" xfId="3" applyNumberFormat="1" applyFont="1"/>
    <xf numFmtId="0" fontId="0" fillId="0" borderId="31" xfId="0" applyBorder="1"/>
    <xf numFmtId="0" fontId="0" fillId="0" borderId="32" xfId="0" applyBorder="1"/>
    <xf numFmtId="14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 vertical="center"/>
    </xf>
    <xf numFmtId="0" fontId="1" fillId="6" borderId="25" xfId="4" applyFont="1" applyBorder="1" applyAlignment="1">
      <alignment horizontal="center"/>
    </xf>
    <xf numFmtId="0" fontId="1" fillId="6" borderId="26" xfId="4" applyFont="1" applyBorder="1" applyAlignment="1">
      <alignment horizontal="center"/>
    </xf>
    <xf numFmtId="0" fontId="1" fillId="6" borderId="27" xfId="4" applyFont="1" applyBorder="1" applyAlignment="1">
      <alignment horizontal="center"/>
    </xf>
    <xf numFmtId="0" fontId="1" fillId="6" borderId="28" xfId="4" applyFont="1" applyBorder="1" applyAlignment="1">
      <alignment horizontal="center"/>
    </xf>
    <xf numFmtId="0" fontId="1" fillId="6" borderId="29" xfId="4" applyFont="1" applyBorder="1" applyAlignment="1">
      <alignment horizontal="center"/>
    </xf>
    <xf numFmtId="0" fontId="1" fillId="6" borderId="30" xfId="4" applyFont="1" applyBorder="1" applyAlignment="1">
      <alignment horizontal="center"/>
    </xf>
    <xf numFmtId="0" fontId="1" fillId="4" borderId="28" xfId="1" applyFont="1" applyBorder="1" applyAlignment="1">
      <alignment horizontal="center"/>
    </xf>
    <xf numFmtId="0" fontId="1" fillId="4" borderId="29" xfId="1" applyFont="1" applyBorder="1" applyAlignment="1">
      <alignment horizontal="center"/>
    </xf>
    <xf numFmtId="0" fontId="1" fillId="4" borderId="30" xfId="1" applyFont="1" applyBorder="1" applyAlignment="1">
      <alignment horizontal="center"/>
    </xf>
    <xf numFmtId="0" fontId="1" fillId="4" borderId="25" xfId="1" applyFont="1" applyBorder="1" applyAlignment="1">
      <alignment horizontal="center"/>
    </xf>
    <xf numFmtId="0" fontId="1" fillId="4" borderId="26" xfId="1" applyFont="1" applyBorder="1" applyAlignment="1">
      <alignment horizontal="center"/>
    </xf>
    <xf numFmtId="0" fontId="1" fillId="4" borderId="27" xfId="1" applyFont="1" applyBorder="1" applyAlignment="1">
      <alignment horizontal="center"/>
    </xf>
    <xf numFmtId="0" fontId="7" fillId="7" borderId="23" xfId="0" applyFont="1" applyFill="1" applyBorder="1" applyAlignment="1">
      <alignment horizontal="center"/>
    </xf>
    <xf numFmtId="0" fontId="7" fillId="7" borderId="24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49" fontId="5" fillId="2" borderId="8" xfId="0" applyNumberFormat="1" applyFont="1" applyFill="1" applyBorder="1" applyAlignment="1">
      <alignment horizontal="center"/>
    </xf>
    <xf numFmtId="49" fontId="5" fillId="2" borderId="9" xfId="0" applyNumberFormat="1" applyFont="1" applyFill="1" applyBorder="1" applyAlignment="1">
      <alignment horizontal="center"/>
    </xf>
    <xf numFmtId="49" fontId="5" fillId="2" borderId="10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49" fontId="1" fillId="2" borderId="4" xfId="0" applyNumberFormat="1" applyFont="1" applyFill="1" applyBorder="1" applyAlignment="1">
      <alignment horizontal="center"/>
    </xf>
    <xf numFmtId="49" fontId="1" fillId="2" borderId="5" xfId="0" applyNumberFormat="1" applyFont="1" applyFill="1" applyBorder="1" applyAlignment="1">
      <alignment horizontal="center"/>
    </xf>
    <xf numFmtId="49" fontId="1" fillId="2" borderId="7" xfId="0" applyNumberFormat="1" applyFont="1" applyFill="1" applyBorder="1" applyAlignment="1">
      <alignment horizontal="center"/>
    </xf>
    <xf numFmtId="49" fontId="5" fillId="3" borderId="15" xfId="0" applyNumberFormat="1" applyFont="1" applyFill="1" applyBorder="1" applyAlignment="1">
      <alignment horizontal="center"/>
    </xf>
    <xf numFmtId="49" fontId="5" fillId="3" borderId="16" xfId="0" applyNumberFormat="1" applyFont="1" applyFill="1" applyBorder="1" applyAlignment="1">
      <alignment horizontal="center"/>
    </xf>
    <xf numFmtId="49" fontId="5" fillId="3" borderId="17" xfId="0" applyNumberFormat="1" applyFont="1" applyFill="1" applyBorder="1" applyAlignment="1">
      <alignment horizontal="center"/>
    </xf>
    <xf numFmtId="49" fontId="1" fillId="4" borderId="6" xfId="1" applyNumberFormat="1" applyFont="1" applyBorder="1" applyAlignment="1">
      <alignment horizontal="center"/>
    </xf>
    <xf numFmtId="49" fontId="1" fillId="4" borderId="7" xfId="1" applyNumberFormat="1" applyFont="1" applyBorder="1" applyAlignment="1">
      <alignment horizontal="center"/>
    </xf>
    <xf numFmtId="49" fontId="1" fillId="4" borderId="2" xfId="1" applyNumberFormat="1" applyFont="1" applyBorder="1" applyAlignment="1">
      <alignment horizontal="center"/>
    </xf>
    <xf numFmtId="49" fontId="1" fillId="4" borderId="3" xfId="1" applyNumberFormat="1" applyFont="1" applyBorder="1" applyAlignment="1">
      <alignment horizontal="center"/>
    </xf>
    <xf numFmtId="49" fontId="1" fillId="4" borderId="4" xfId="1" applyNumberFormat="1" applyFont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</cellXfs>
  <cellStyles count="5">
    <cellStyle name="Énfasis1" xfId="1" builtinId="29"/>
    <cellStyle name="Énfasis2" xfId="4" builtinId="33"/>
    <cellStyle name="Moneda" xfId="3" builtinId="4"/>
    <cellStyle name="Normal" xfId="0" builtinId="0"/>
    <cellStyle name="Porcentaje" xfId="2" builtinId="5"/>
  </cellStyles>
  <dxfs count="153">
    <dxf>
      <font>
        <color theme="0"/>
      </font>
      <fill>
        <patternFill patternType="solid">
          <fgColor indexed="64"/>
          <bgColor rgb="FFF8696B"/>
        </patternFill>
      </fill>
    </dxf>
    <dxf>
      <font>
        <color rgb="FF000000"/>
      </font>
      <fill>
        <patternFill patternType="solid">
          <fgColor indexed="64"/>
          <bgColor rgb="FFFCFCFF"/>
        </patternFill>
      </fill>
    </dxf>
    <dxf>
      <font>
        <color theme="0"/>
      </font>
      <fill>
        <patternFill patternType="solid">
          <fgColor indexed="64"/>
          <bgColor rgb="FF63BE7B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S/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S/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S/&quot;\ #,##0.00"/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/>
      </font>
      <numFmt numFmtId="164" formatCode="&quot;S/&quot;\ #,##0.00"/>
    </dxf>
    <dxf>
      <font>
        <b/>
      </font>
      <numFmt numFmtId="2" formatCode="0.00"/>
    </dxf>
    <dxf>
      <numFmt numFmtId="1" formatCode="0"/>
    </dxf>
    <dxf>
      <font>
        <b val="0"/>
      </font>
      <numFmt numFmtId="164" formatCode="&quot;S/&quot;\ #,##0.00"/>
    </dxf>
    <dxf>
      <font>
        <b/>
      </font>
      <numFmt numFmtId="1" formatCode="0"/>
    </dxf>
    <dxf>
      <numFmt numFmtId="1" formatCode="0"/>
    </dxf>
    <dxf>
      <numFmt numFmtId="1" formatCode="0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</dxf>
    <dxf>
      <numFmt numFmtId="0" formatCode="General"/>
    </dxf>
    <dxf>
      <font>
        <b/>
      </font>
      <numFmt numFmtId="164" formatCode="&quot;S/&quot;\ #,##0.00"/>
    </dxf>
    <dxf>
      <font>
        <b/>
      </font>
      <numFmt numFmtId="2" formatCode="0.00"/>
    </dxf>
    <dxf>
      <numFmt numFmtId="1" formatCode="0"/>
    </dxf>
    <dxf>
      <numFmt numFmtId="164" formatCode="&quot;S/&quot;\ #,##0.00"/>
    </dxf>
    <dxf>
      <font>
        <b/>
      </font>
      <numFmt numFmtId="1" formatCode="0"/>
    </dxf>
    <dxf>
      <numFmt numFmtId="1" formatCode="0"/>
    </dxf>
    <dxf>
      <numFmt numFmtId="1" formatCode="0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/>
      </font>
    </dxf>
    <dxf>
      <font>
        <b/>
      </font>
      <numFmt numFmtId="164" formatCode="&quot;S/&quot;\ #,##0.00"/>
    </dxf>
    <dxf>
      <font>
        <b/>
      </font>
      <numFmt numFmtId="164" formatCode="&quot;S/&quot;\ #,##0.00"/>
    </dxf>
    <dxf>
      <font>
        <b/>
      </font>
      <numFmt numFmtId="164" formatCode="&quot;S/&quot;\ #,##0.00"/>
    </dxf>
    <dxf>
      <font>
        <b/>
      </font>
    </dxf>
    <dxf>
      <font>
        <b/>
      </font>
    </dxf>
    <dxf>
      <numFmt numFmtId="0" formatCode="General"/>
    </dxf>
    <dxf>
      <font>
        <b/>
      </font>
      <numFmt numFmtId="164" formatCode="&quot;S/&quot;\ #,##0.00"/>
    </dxf>
    <dxf>
      <font>
        <b/>
      </font>
      <numFmt numFmtId="2" formatCode="0.00"/>
    </dxf>
    <dxf>
      <numFmt numFmtId="1" formatCode="0"/>
    </dxf>
    <dxf>
      <font>
        <b val="0"/>
      </font>
      <numFmt numFmtId="164" formatCode="&quot;S/&quot;\ #,##0.00"/>
    </dxf>
    <dxf>
      <font>
        <b/>
      </font>
      <numFmt numFmtId="1" formatCode="0"/>
    </dxf>
    <dxf>
      <numFmt numFmtId="1" formatCode="0"/>
    </dxf>
    <dxf>
      <numFmt numFmtId="1" formatCode="0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</dxf>
    <dxf>
      <numFmt numFmtId="0" formatCode="General"/>
    </dxf>
    <dxf>
      <font>
        <b/>
      </font>
      <numFmt numFmtId="164" formatCode="&quot;S/&quot;\ #,##0.00"/>
    </dxf>
    <dxf>
      <font>
        <b/>
      </font>
      <numFmt numFmtId="2" formatCode="0.00"/>
    </dxf>
    <dxf>
      <numFmt numFmtId="1" formatCode="0"/>
    </dxf>
    <dxf>
      <numFmt numFmtId="164" formatCode="&quot;S/&quot;\ #,##0.00"/>
    </dxf>
    <dxf>
      <font>
        <b/>
      </font>
      <numFmt numFmtId="1" formatCode="0"/>
    </dxf>
    <dxf>
      <numFmt numFmtId="1" formatCode="0"/>
    </dxf>
    <dxf>
      <numFmt numFmtId="1" formatCode="0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/>
      </font>
    </dxf>
    <dxf>
      <font>
        <b/>
      </font>
      <numFmt numFmtId="164" formatCode="&quot;S/&quot;\ #,##0.00"/>
    </dxf>
    <dxf>
      <font>
        <b/>
      </font>
      <numFmt numFmtId="164" formatCode="&quot;S/&quot;\ #,##0.00"/>
    </dxf>
    <dxf>
      <font>
        <b/>
      </font>
      <numFmt numFmtId="164" formatCode="&quot;S/&quot;\ #,##0.00"/>
    </dxf>
    <dxf>
      <font>
        <b/>
      </font>
    </dxf>
    <dxf>
      <font>
        <b/>
      </font>
    </dxf>
    <dxf>
      <numFmt numFmtId="0" formatCode="General"/>
    </dxf>
    <dxf>
      <font>
        <b/>
      </font>
      <numFmt numFmtId="164" formatCode="&quot;S/&quot;\ #,##0.00"/>
    </dxf>
    <dxf>
      <font>
        <b/>
      </font>
      <numFmt numFmtId="2" formatCode="0.00"/>
    </dxf>
    <dxf>
      <numFmt numFmtId="1" formatCode="0"/>
    </dxf>
    <dxf>
      <font>
        <b val="0"/>
      </font>
      <numFmt numFmtId="164" formatCode="&quot;S/&quot;\ #,##0.00"/>
    </dxf>
    <dxf>
      <font>
        <b/>
      </font>
      <numFmt numFmtId="1" formatCode="0"/>
    </dxf>
    <dxf>
      <numFmt numFmtId="1" formatCode="0"/>
    </dxf>
    <dxf>
      <numFmt numFmtId="1" formatCode="0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</dxf>
    <dxf>
      <numFmt numFmtId="0" formatCode="General"/>
    </dxf>
    <dxf>
      <font>
        <b/>
      </font>
      <numFmt numFmtId="164" formatCode="&quot;S/&quot;\ #,##0.00"/>
    </dxf>
    <dxf>
      <font>
        <b/>
      </font>
      <numFmt numFmtId="2" formatCode="0.00"/>
    </dxf>
    <dxf>
      <numFmt numFmtId="1" formatCode="0"/>
    </dxf>
    <dxf>
      <numFmt numFmtId="164" formatCode="&quot;S/&quot;\ #,##0.00"/>
    </dxf>
    <dxf>
      <font>
        <b/>
      </font>
      <numFmt numFmtId="1" formatCode="0"/>
    </dxf>
    <dxf>
      <numFmt numFmtId="1" formatCode="0"/>
    </dxf>
    <dxf>
      <numFmt numFmtId="1" formatCode="0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/>
      </font>
    </dxf>
    <dxf>
      <font>
        <b/>
      </font>
      <numFmt numFmtId="164" formatCode="&quot;S/&quot;\ #,##0.00"/>
    </dxf>
    <dxf>
      <font>
        <b/>
      </font>
      <numFmt numFmtId="164" formatCode="&quot;S/&quot;\ #,##0.00"/>
    </dxf>
    <dxf>
      <font>
        <b/>
      </font>
      <numFmt numFmtId="164" formatCode="&quot;S/&quot;\ #,##0.00"/>
    </dxf>
    <dxf>
      <font>
        <b/>
      </font>
    </dxf>
    <dxf>
      <font>
        <b/>
      </font>
    </dxf>
    <dxf>
      <numFmt numFmtId="0" formatCode="General"/>
    </dxf>
    <dxf>
      <font>
        <b/>
      </font>
      <numFmt numFmtId="164" formatCode="&quot;S/&quot;\ #,##0.00"/>
    </dxf>
    <dxf>
      <font>
        <b/>
      </font>
      <numFmt numFmtId="2" formatCode="0.00"/>
    </dxf>
    <dxf>
      <numFmt numFmtId="1" formatCode="0"/>
    </dxf>
    <dxf>
      <font>
        <b val="0"/>
      </font>
      <numFmt numFmtId="164" formatCode="&quot;S/&quot;\ #,##0.00"/>
    </dxf>
    <dxf>
      <font>
        <b/>
      </font>
      <numFmt numFmtId="1" formatCode="0"/>
    </dxf>
    <dxf>
      <numFmt numFmtId="1" formatCode="0"/>
    </dxf>
    <dxf>
      <numFmt numFmtId="1" formatCode="0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</dxf>
    <dxf>
      <numFmt numFmtId="0" formatCode="General"/>
    </dxf>
    <dxf>
      <numFmt numFmtId="13" formatCode="0%"/>
    </dxf>
    <dxf>
      <font>
        <b/>
      </font>
      <numFmt numFmtId="164" formatCode="&quot;S/&quot;\ #,##0.00"/>
    </dxf>
    <dxf>
      <font>
        <b/>
      </font>
      <numFmt numFmtId="2" formatCode="0.00"/>
    </dxf>
    <dxf>
      <numFmt numFmtId="1" formatCode="0"/>
    </dxf>
    <dxf>
      <numFmt numFmtId="164" formatCode="&quot;S/&quot;\ #,##0.00"/>
    </dxf>
    <dxf>
      <font>
        <b/>
      </font>
      <numFmt numFmtId="1" formatCode="0"/>
    </dxf>
    <dxf>
      <numFmt numFmtId="1" formatCode="0"/>
    </dxf>
    <dxf>
      <numFmt numFmtId="1" formatCode="0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numFmt numFmtId="165" formatCode="_-[$S/-280A]\ * #,##0.00_-;\-[$S/-280A]\ * #,##0.00_-;_-[$S/-280A]\ * &quot;-&quot;??_-;_-@_-"/>
    </dxf>
    <dxf>
      <numFmt numFmtId="165" formatCode="_-[$S/-280A]\ * #,##0.00_-;\-[$S/-280A]\ * #,##0.00_-;_-[$S/-280A]\ * &quot;-&quot;??_-;_-@_-"/>
    </dxf>
    <dxf>
      <numFmt numFmtId="165" formatCode="_-[$S/-280A]\ * #,##0.00_-;\-[$S/-280A]\ * #,##0.00_-;_-[$S/-280A]\ * &quot;-&quot;??_-;_-@_-"/>
    </dxf>
    <dxf>
      <numFmt numFmtId="1" formatCode="0"/>
    </dxf>
    <dxf>
      <numFmt numFmtId="164" formatCode="&quot;S/&quot;\ #,##0.00"/>
    </dxf>
    <dxf>
      <numFmt numFmtId="19" formatCode="d/mm/yyyy"/>
    </dxf>
    <dxf>
      <numFmt numFmtId="1" formatCode="0"/>
      <alignment horizontal="right" vertical="center" textRotation="0" wrapText="0" indent="0" justifyLastLine="0" shrinkToFit="0" readingOrder="0"/>
    </dxf>
    <dxf>
      <numFmt numFmtId="164" formatCode="&quot;S/&quot;\ #,##0.00"/>
      <alignment horizontal="right" vertical="center" textRotation="0" wrapText="0" indent="0" justifyLastLine="0" shrinkToFit="0" readingOrder="0"/>
    </dxf>
    <dxf>
      <numFmt numFmtId="19" formatCode="d/mm/yyyy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" formatCode="0"/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6C7784-2AD5-49D3-98EB-3EDD9ADDB5ED}" name="Tabla_Luz" displayName="Tabla_Luz" ref="A3:D28" totalsRowShown="0" headerRowDxfId="152" dataDxfId="151">
  <autoFilter ref="A3:D28" xr:uid="{716C7784-2AD5-49D3-98EB-3EDD9ADDB5ED}"/>
  <tableColumns count="4">
    <tableColumn id="1" xr3:uid="{ECA255E2-9A87-456F-829C-80CD5640F1DF}" name="Año" dataDxfId="150"/>
    <tableColumn id="2" xr3:uid="{0DE0E6E2-AAF2-4C3F-A939-30DDEFB09C9E}" name="Mes" dataDxfId="149"/>
    <tableColumn id="3" xr3:uid="{9DD3ADBA-F740-461A-BFC2-BBEEDE87958F}" name="Importe Recibo" dataDxfId="148"/>
    <tableColumn id="4" xr3:uid="{86D087C2-890D-4FB6-8E63-8876D4BA9A81}" name="Consumo Recibo" dataDxfId="147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CB53D4-3225-49D3-A843-91B2F382EA17}" name="Tabla_Agua" displayName="Tabla_Agua" ref="A3:D28" totalsRowShown="0">
  <autoFilter ref="A3:D28" xr:uid="{ACCB53D4-3225-49D3-A843-91B2F382EA17}"/>
  <tableColumns count="4">
    <tableColumn id="1" xr3:uid="{60584789-5CCC-4BB7-BE86-121518E1932A}" name="Año"/>
    <tableColumn id="2" xr3:uid="{69DF7902-DCE8-4B4C-8EF0-271EAA0911F3}" name="Mes" dataDxfId="146"/>
    <tableColumn id="3" xr3:uid="{56206906-3424-4CFC-8FF1-65B4B8DCDD40}" name="Importe Recibo" dataDxfId="145"/>
    <tableColumn id="4" xr3:uid="{039C7C27-1658-4BFD-810C-E1AB459B65AD}" name="Consumo Recibo" dataDxfId="14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E3D0B29-2B9C-485D-90DD-14F9BFA10E4A}" name="Tabla_Total_General" displayName="Tabla_Total_General" ref="A3:E28" totalsRowShown="0">
  <autoFilter ref="A3:E28" xr:uid="{5E3D0B29-2B9C-485D-90DD-14F9BFA10E4A}"/>
  <tableColumns count="5">
    <tableColumn id="1" xr3:uid="{CE817AF3-1270-4FE3-9D21-E72400BAF284}" name="Año"/>
    <tableColumn id="2" xr3:uid="{F9B22AFC-0159-4E66-82B8-279B2B12F88C}" name="Mes"/>
    <tableColumn id="3" xr3:uid="{F366C666-A595-4E38-855D-271C1BABA0E8}" name="Total Calculado" dataDxfId="143">
      <calculatedColumnFormula>SUM(Tabla_Peluqueria[[#This Row],[Total a Pagar]],Tabla_Lavanderia[[#This Row],[Total a Pagar]],Tabla_Departamento_Antiguo[[#This Row],[Total a Pagar]],Tabla_Departamento_Nuevo[[#This Row],[Total a Pagar]])</calculatedColumnFormula>
    </tableColumn>
    <tableColumn id="4" xr3:uid="{3E5AEF71-F047-4955-906F-E7BC5CB09B3A}" name="Total Recibos" dataDxfId="142">
      <calculatedColumnFormula>SUM(Tabla_Luz[[#This Row],[Importe Recibo]],Tabla_Agua[[#This Row],[Importe Recibo]])</calculatedColumnFormula>
    </tableColumn>
    <tableColumn id="5" xr3:uid="{AE676DC4-1599-446F-B240-BB1656BA3668}" name="Diferencia" dataDxfId="141" dataCellStyle="Moneda">
      <calculatedColumnFormula>ROUND(IMSUB(Tabla_Total_General[[#This Row],[Total Calculado]],Tabla_Total_General[[#This Row],[Total Recibos]]),2)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BCDBB9-15DA-4D9C-9C24-AAA026309143}" name="Tabla424" displayName="Tabla424" ref="A3:J28" headerRowDxfId="140" dataDxfId="139" totalsRowDxfId="138">
  <autoFilter ref="A3:J28" xr:uid="{F5BCDBB9-15DA-4D9C-9C24-AAA026309143}"/>
  <tableColumns count="10">
    <tableColumn id="7" xr3:uid="{D06ECE38-853B-4F6C-87EA-CF51362F8A7A}" name="Año" dataDxfId="137" totalsRowDxfId="136"/>
    <tableColumn id="1" xr3:uid="{93482976-370A-4AB2-B0DB-85FA98DB021E}" name="Mes" dataDxfId="135"/>
    <tableColumn id="2" xr3:uid="{471B9799-290F-4CBF-8DE5-A656BA09891E}" name="Lectura Medidor Actual" dataDxfId="134"/>
    <tableColumn id="3" xr3:uid="{4BB26919-4136-44D9-AE3D-827E0C965E9A}" name="Lectura Medidor Anterior" dataDxfId="133"/>
    <tableColumn id="5" xr3:uid="{DC398C18-5D17-4871-9971-A8E79F0D01E2}" name="Consumo Medidor" dataDxfId="132">
      <calculatedColumnFormula>Tabla424[[#This Row],[Lectura Medidor Actual]]-Tabla424[[#This Row],[Lectura Medidor Anterior]]</calculatedColumnFormula>
    </tableColumn>
    <tableColumn id="11" xr3:uid="{970144B5-83D1-45DB-A9FA-1B9A98942C41}" name="Importe Recibo" dataDxfId="131">
      <calculatedColumnFormula>Tabla_Luz[[#This Row],[Importe Recibo]]</calculatedColumnFormula>
    </tableColumn>
    <tableColumn id="12" xr3:uid="{93AB8C15-DB20-4140-8047-45A683F6925F}" name="Consumo Recibo" dataDxfId="130">
      <calculatedColumnFormula>Tabla_Luz[[#This Row],[Consumo Recibo]]</calculatedColumnFormula>
    </tableColumn>
    <tableColumn id="10" xr3:uid="{7FA03F72-357E-4165-AA64-D039DF38CC27}" name="Valor Unitario" dataDxfId="129">
      <calculatedColumnFormula>ROUND(Tabla424[[#This Row],[Importe Recibo]]/Tabla424[[#This Row],[Consumo Recibo]],2)</calculatedColumnFormula>
    </tableColumn>
    <tableColumn id="6" xr3:uid="{8486BE24-C33C-42B9-9B89-E48792FEF1ED}" name="Total a Pagar" totalsRowFunction="count" dataDxfId="128">
      <calculatedColumnFormula>ROUND(Tabla424[[#This Row],[Consumo Medidor]]*Tabla424[[#This Row],[Valor Unitario]],2)</calculatedColumnFormula>
    </tableColumn>
    <tableColumn id="4" xr3:uid="{3B23F889-9E5A-41A2-850C-12239D5D417A}" name="Porcentaje de pago" dataDxfId="127" totalsRowDxfId="126" dataCellStyle="Porcentaje">
      <calculatedColumnFormula>(Tabla424[[#This Row],[Total a Pagar]]/Tabla424[[#This Row],[Importe Recibo]])</calculatedColumnFormula>
    </tableColumn>
  </tableColumns>
  <tableStyleInfo name="TableStyleMedium3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01278B-A574-4718-B5D7-BD46FA606564}" name="Tabla4246" displayName="Tabla4246" ref="K3:T28" headerRowDxfId="125" dataDxfId="124" totalsRowDxfId="123">
  <autoFilter ref="K3:T28" xr:uid="{4F01278B-A574-4718-B5D7-BD46FA606564}"/>
  <tableColumns count="10">
    <tableColumn id="7" xr3:uid="{FE321B92-C4DB-49A8-A028-A19CCFEB62B4}" name="Año" dataDxfId="122" totalsRowDxfId="121"/>
    <tableColumn id="1" xr3:uid="{EA25B5D2-2013-4D58-AD76-7CE4665362B6}" name="Mes" dataDxfId="120"/>
    <tableColumn id="2" xr3:uid="{C73607CE-9376-4EFB-B2A1-EC2C9F5F1304}" name="Lectura Medidor Actual" dataDxfId="119"/>
    <tableColumn id="3" xr3:uid="{C341D80F-BB68-49C8-9290-EFB9DD88E945}" name="Lectura Medidor Anterior" dataDxfId="118"/>
    <tableColumn id="5" xr3:uid="{853D3789-A209-4D7D-A176-12F1EF8ADF0A}" name="Consumo Medidor" dataDxfId="117">
      <calculatedColumnFormula>Tabla4246[[#This Row],[Lectura Medidor Actual]]-Tabla4246[[#This Row],[Lectura Medidor Anterior]]</calculatedColumnFormula>
    </tableColumn>
    <tableColumn id="11" xr3:uid="{7351B6ED-EEC5-4CD5-A98D-D7B3BD865FAF}" name="Importe Recibo" dataDxfId="116"/>
    <tableColumn id="12" xr3:uid="{A95A674A-6E8F-474B-A0F0-002D8892DDC2}" name="Consumo Recibo" dataDxfId="115">
      <calculatedColumnFormula>Tabla_Agua[[#This Row],[Consumo Recibo]]</calculatedColumnFormula>
    </tableColumn>
    <tableColumn id="10" xr3:uid="{1FB197DF-5B46-48BE-ABC5-F976E0A3CD9D}" name="Valor Unitario" dataDxfId="114">
      <calculatedColumnFormula>ROUND(Tabla4246[[#This Row],[Importe Recibo]]/Tabla4246[[#This Row],[Consumo Recibo]],2)</calculatedColumnFormula>
    </tableColumn>
    <tableColumn id="6" xr3:uid="{8A492387-540F-4207-805D-F5A2D5259448}" name="Total a Pagar" totalsRowFunction="count" dataDxfId="113">
      <calculatedColumnFormula>ROUND(Tabla4246[[#This Row],[Consumo Medidor]]*Tabla4246[[#This Row],[Valor Unitario]],2)</calculatedColumnFormula>
    </tableColumn>
    <tableColumn id="4" xr3:uid="{B33AB40D-98F0-48A1-8C1E-0270921DAE65}" name="Porcentaje de pago" totalsRowDxfId="112" dataCellStyle="Porcentaje">
      <calculatedColumnFormula>(Tabla4246[[#This Row],[Total a Pagar]]/Tabla4246[[#This Row],[Importe Recibo]])</calculatedColumnFormula>
    </tableColumn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9708B0B-6EC8-4DBF-82D7-A734A7E13E58}" name="Tabla_Peluqueria" displayName="Tabla_Peluqueria" ref="U3:X28" totalsRowShown="0" headerRowDxfId="111" dataDxfId="110">
  <autoFilter ref="U3:X28" xr:uid="{B9708B0B-6EC8-4DBF-82D7-A734A7E13E58}"/>
  <tableColumns count="4">
    <tableColumn id="1" xr3:uid="{F465AB80-CC22-4071-AA66-5836F86D2489}" name="Total Luz" dataDxfId="109">
      <calculatedColumnFormula>Tabla424[[#This Row],[Total a Pagar]]</calculatedColumnFormula>
    </tableColumn>
    <tableColumn id="2" xr3:uid="{BEC39F96-E453-471C-B0FC-A2077CE32118}" name="Total Agua" dataDxfId="108">
      <calculatedColumnFormula>Tabla4246[[#This Row],[Total a Pagar]]</calculatedColumnFormula>
    </tableColumn>
    <tableColumn id="3" xr3:uid="{6DE8B83E-6920-4FBD-B73C-DB2A866FD487}" name="Total a Pagar" dataDxfId="107">
      <calculatedColumnFormula>ROUND(Tabla_Peluqueria[[#This Row],[Total Luz]]+Tabla_Peluqueria[[#This Row],[Total Agua]],2)</calculatedColumnFormula>
    </tableColumn>
    <tableColumn id="4" xr3:uid="{FDE135D6-B1A3-401B-B89E-B2CA2A1D28D8}" name="Observaciones" dataDxfId="106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0E7F941-DA2D-4BBB-9684-C31A8E46CA86}" name="Tabla42420" displayName="Tabla42420" ref="A3:J28" headerRowDxfId="105" dataDxfId="104" totalsRowDxfId="103">
  <autoFilter ref="A3:J28" xr:uid="{E0E7F941-DA2D-4BBB-9684-C31A8E46CA86}"/>
  <tableColumns count="10">
    <tableColumn id="7" xr3:uid="{59D242BC-C124-4865-A881-2D612F266CBD}" name="Año" dataDxfId="102" totalsRowDxfId="101"/>
    <tableColumn id="1" xr3:uid="{1AEA4459-B679-4C1F-AFFB-9490E6DD3810}" name="Mes" dataDxfId="100"/>
    <tableColumn id="2" xr3:uid="{F49C1FD0-EDFE-40B1-BCCC-84AD94435980}" name="Lectura Medidor Actual" dataDxfId="99"/>
    <tableColumn id="3" xr3:uid="{5163B0D3-B58A-4EED-993C-E9CDF47C99F8}" name="Lectura Medidor Anterior" dataDxfId="98"/>
    <tableColumn id="5" xr3:uid="{DA1CCE79-45A3-4F02-A404-E373A2A39B30}" name="Consumo Medidor" dataDxfId="97">
      <calculatedColumnFormula>Tabla42420[[#This Row],[Lectura Medidor Actual]]-Tabla42420[[#This Row],[Lectura Medidor Anterior]]</calculatedColumnFormula>
    </tableColumn>
    <tableColumn id="11" xr3:uid="{ACCC57C9-D20E-4D31-8F0C-863C49DAA9AB}" name="Importe Recibo" dataDxfId="96">
      <calculatedColumnFormula>Tabla_Luz[[#This Row],[Importe Recibo]]</calculatedColumnFormula>
    </tableColumn>
    <tableColumn id="12" xr3:uid="{A0EA76F2-5FBA-46E3-8A91-C5C9D38E01C4}" name="Consumo Recibo" dataDxfId="95">
      <calculatedColumnFormula>Tabla_Luz[[#This Row],[Consumo Recibo]]</calculatedColumnFormula>
    </tableColumn>
    <tableColumn id="10" xr3:uid="{B653BEA6-C4D8-400C-AA0F-64DEB1D3C610}" name="Valor Unitario" dataDxfId="94">
      <calculatedColumnFormula>ROUND(Tabla42420[[#This Row],[Importe Recibo]]/Tabla42420[[#This Row],[Consumo Recibo]],2)</calculatedColumnFormula>
    </tableColumn>
    <tableColumn id="6" xr3:uid="{325EF528-10E7-4483-BFA1-3CB3112444E5}" name="Total a Pagar" totalsRowFunction="count" dataDxfId="93">
      <calculatedColumnFormula>ROUND(Tabla42420[[#This Row],[Consumo Medidor]]*Tabla42420[[#This Row],[Valor Unitario]],2)</calculatedColumnFormula>
    </tableColumn>
    <tableColumn id="4" xr3:uid="{9879D74D-52CA-4811-B24D-885419F46D10}" name="Porcentaje de pago" totalsRowDxfId="92" dataCellStyle="Porcentaje">
      <calculatedColumnFormula>Tabla42420[[#This Row],[Total a Pagar]]/Tabla42420[[#This Row],[Importe Recibo]]</calculatedColumnFormula>
    </tableColumn>
  </tableColumns>
  <tableStyleInfo name="TableStyleMedium3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D128542-98C3-48D6-AA1E-B52953CC7F79}" name="Tabla424621" displayName="Tabla424621" ref="K3:T28" headerRowDxfId="91" dataDxfId="90" totalsRowDxfId="89">
  <autoFilter ref="K3:T28" xr:uid="{8D128542-98C3-48D6-AA1E-B52953CC7F79}">
    <filterColumn colId="0">
      <filters>
        <filter val="2025"/>
      </filters>
    </filterColumn>
  </autoFilter>
  <tableColumns count="10">
    <tableColumn id="7" xr3:uid="{232809B2-CC07-440B-9706-C27B03959F64}" name="Año" dataDxfId="88" totalsRowDxfId="87"/>
    <tableColumn id="1" xr3:uid="{2D09DF5C-E190-42D6-B56F-EB1B8AF53CD9}" name="Mes" dataDxfId="86"/>
    <tableColumn id="2" xr3:uid="{632322CE-43C2-44C6-9D21-3D3662DA578A}" name="Lectura Medidor Actual" dataDxfId="85"/>
    <tableColumn id="3" xr3:uid="{B8E13F3A-3E76-4512-9E56-15EB32F593CA}" name="Lectura Medidor Anterior" dataDxfId="84"/>
    <tableColumn id="5" xr3:uid="{D3BF1C27-B6FB-412C-B15B-5FD634BCCE00}" name="Consumo Medidor" dataDxfId="83">
      <calculatedColumnFormula>Tabla424621[[#This Row],[Lectura Medidor Actual]]-Tabla424621[[#This Row],[Lectura Medidor Anterior]]</calculatedColumnFormula>
    </tableColumn>
    <tableColumn id="11" xr3:uid="{4CA5CEF6-D8C0-4CAE-BB4C-C84FFE0E29E0}" name="Importe Recibo" dataDxfId="82">
      <calculatedColumnFormula>Tabla_Agua[[#This Row],[Importe Recibo]]</calculatedColumnFormula>
    </tableColumn>
    <tableColumn id="12" xr3:uid="{9B9C64C0-B73A-4D46-8AF4-67C74127F6D4}" name="Consumo Recibo" dataDxfId="81"/>
    <tableColumn id="10" xr3:uid="{610F605D-BFA5-4832-A276-9E82DD3C6C0C}" name="Valor Unitario" dataDxfId="80">
      <calculatedColumnFormula>ROUND(Tabla424621[[#This Row],[Importe Recibo]]/Tabla424621[[#This Row],[Consumo Recibo]],2)</calculatedColumnFormula>
    </tableColumn>
    <tableColumn id="6" xr3:uid="{C56A159D-D0B2-4863-AD32-336EE9ECECCF}" name="Total a Pagar" totalsRowFunction="count" dataDxfId="79">
      <calculatedColumnFormula>ROUND(Tabla424621[[#This Row],[Consumo Medidor]]*Tabla424621[[#This Row],[Valor Unitario]],2)</calculatedColumnFormula>
    </tableColumn>
    <tableColumn id="4" xr3:uid="{796D59CC-538D-42F4-95DD-FD8711D69A30}" name="Porcentaje de pago" totalsRowDxfId="78" dataCellStyle="Porcentaje">
      <calculatedColumnFormula>Tabla424621[[#This Row],[Total a Pagar]]/Tabla424621[[#This Row],[Importe Recibo]]</calculatedColumnFormula>
    </tableColumn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10B646-CE41-4FC8-9D2E-3B4D20C3D0CC}" name="Tabla_Lavanderia" displayName="Tabla_Lavanderia" ref="U3:X28" totalsRowShown="0" headerRowDxfId="77" dataDxfId="76">
  <autoFilter ref="U3:X28" xr:uid="{0010B646-CE41-4FC8-9D2E-3B4D20C3D0CC}"/>
  <tableColumns count="4">
    <tableColumn id="1" xr3:uid="{978B5C5F-973D-49AA-9D0B-31DDFFF25D1F}" name="Total Luz" dataDxfId="75">
      <calculatedColumnFormula>Tabla42420[[#This Row],[Total a Pagar]]</calculatedColumnFormula>
    </tableColumn>
    <tableColumn id="2" xr3:uid="{5F5F5AFC-686B-4736-9D7E-7CB5DCDFBB95}" name="Total Agua" dataDxfId="74">
      <calculatedColumnFormula>Tabla424621[[#This Row],[Total a Pagar]]</calculatedColumnFormula>
    </tableColumn>
    <tableColumn id="3" xr3:uid="{4204B350-932D-4D64-9A83-F14A5A2D4CAF}" name="Total a Pagar" dataDxfId="73">
      <calculatedColumnFormula>ROUND(Tabla_Lavanderia[[#This Row],[Total Luz]]+Tabla_Lavanderia[[#This Row],[Total Agua]],2)</calculatedColumnFormula>
    </tableColumn>
    <tableColumn id="4" xr3:uid="{38EA2517-000F-4601-9AB9-6A131FF924E0}" name="Observaciones" dataDxfId="72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B1C7B7C-1E56-45E3-97B0-C09EAD73EF20}" name="Tabla42422" displayName="Tabla42422" ref="A3:J28" headerRowDxfId="71" dataDxfId="70" totalsRowDxfId="69">
  <autoFilter ref="A3:J28" xr:uid="{6B1C7B7C-1E56-45E3-97B0-C09EAD73EF20}"/>
  <tableColumns count="10">
    <tableColumn id="7" xr3:uid="{58D17C8B-1ECA-463C-B845-E0AA1EAE528A}" name="Año" dataDxfId="68" totalsRowDxfId="67"/>
    <tableColumn id="1" xr3:uid="{34338B57-EE4A-4045-A813-CEFE63EF3DD6}" name="Mes" dataDxfId="66"/>
    <tableColumn id="2" xr3:uid="{54B1C8FE-693B-4775-A15A-4D8335A7CEC8}" name="Lectura Medidor Actual" dataDxfId="65"/>
    <tableColumn id="3" xr3:uid="{614BC4B1-93E8-477F-8E30-83CCC80F4244}" name="Lectura Medidor Anterior" dataDxfId="64"/>
    <tableColumn id="5" xr3:uid="{FB269397-95F6-4CB0-8EF3-5388B7B54657}" name="Consumo Medidor" dataDxfId="63">
      <calculatedColumnFormula>Tabla42422[[#This Row],[Lectura Medidor Actual]]-Tabla42422[[#This Row],[Lectura Medidor Anterior]]</calculatedColumnFormula>
    </tableColumn>
    <tableColumn id="11" xr3:uid="{76238FDA-D1B8-4B38-AA80-6E74C8996E43}" name="Importe Recibo" dataDxfId="62">
      <calculatedColumnFormula>Tabla_Luz[[#This Row],[Importe Recibo]]</calculatedColumnFormula>
    </tableColumn>
    <tableColumn id="12" xr3:uid="{B5AECDB5-BA61-41F5-B09C-CDD7A876E65C}" name="Consumo Recibo" dataDxfId="61">
      <calculatedColumnFormula>Tabla_Luz[[#This Row],[Consumo Recibo]]</calculatedColumnFormula>
    </tableColumn>
    <tableColumn id="10" xr3:uid="{8F760216-B182-4BE4-A1B9-EB4F5674AC99}" name="Valor Unitario" dataDxfId="60">
      <calculatedColumnFormula>ROUND(Tabla42422[[#This Row],[Importe Recibo]]/Tabla42422[[#This Row],[Consumo Recibo]],2)</calculatedColumnFormula>
    </tableColumn>
    <tableColumn id="6" xr3:uid="{9B0B21A3-5529-48B8-838C-6C7CB13677D7}" name="Total a Pagar" totalsRowFunction="count" dataDxfId="59">
      <calculatedColumnFormula>ROUND(Tabla42422[[#This Row],[Consumo Medidor]]*Tabla42422[[#This Row],[Valor Unitario]],2)</calculatedColumnFormula>
    </tableColumn>
    <tableColumn id="4" xr3:uid="{291960AF-E8C4-444A-88BB-7B6AE82832E4}" name="Porcentaje de pago" totalsRowDxfId="58" dataCellStyle="Porcentaje">
      <calculatedColumnFormula>Tabla42422[[#This Row],[Total a Pagar]]/Tabla42422[[#This Row],[Importe Recibo]]</calculatedColumnFormula>
    </tableColumn>
  </tableColumns>
  <tableStyleInfo name="TableStyleMedium3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E49F2D7-E869-4DB4-9376-A7BD43A1E281}" name="Tabla424623" displayName="Tabla424623" ref="K3:T28" headerRowDxfId="57" dataDxfId="56" totalsRowDxfId="55">
  <autoFilter ref="K3:T28" xr:uid="{5E49F2D7-E869-4DB4-9376-A7BD43A1E281}">
    <filterColumn colId="0">
      <filters>
        <filter val="2025"/>
      </filters>
    </filterColumn>
  </autoFilter>
  <tableColumns count="10">
    <tableColumn id="7" xr3:uid="{D1D9A92D-9A8D-483F-B2E9-1C1D41F63117}" name="Año" dataDxfId="54" totalsRowDxfId="53"/>
    <tableColumn id="1" xr3:uid="{E0566056-E957-464E-8995-4F98B8087C5D}" name="Mes" dataDxfId="52"/>
    <tableColumn id="2" xr3:uid="{CBD92512-FD03-41FC-BEC8-203782D41193}" name="Lectura Medidor Actual" dataDxfId="51"/>
    <tableColumn id="3" xr3:uid="{742E71EA-4D57-43A1-AC93-FECE6A40D9CD}" name="Lectura Medidor Anterior" dataDxfId="50"/>
    <tableColumn id="5" xr3:uid="{664EA29A-C92E-46D2-B69B-D1F19435C54B}" name="Consumo Medidor" dataDxfId="49">
      <calculatedColumnFormula>Tabla424623[[#This Row],[Lectura Medidor Actual]]-Tabla424623[[#This Row],[Lectura Medidor Anterior]]</calculatedColumnFormula>
    </tableColumn>
    <tableColumn id="11" xr3:uid="{F9EA4EFF-A6F2-42B8-847C-605F5765B03C}" name="Importe Recibo" dataDxfId="48">
      <calculatedColumnFormula>Tabla_Agua[[#This Row],[Importe Recibo]]</calculatedColumnFormula>
    </tableColumn>
    <tableColumn id="12" xr3:uid="{C6F5CD55-97E5-4DCA-BC77-D73C0694251C}" name="Consumo Recibo" dataDxfId="47">
      <calculatedColumnFormula>Tabla_Agua[[#This Row],[Consumo Recibo]]</calculatedColumnFormula>
    </tableColumn>
    <tableColumn id="10" xr3:uid="{961D07DE-9EAC-4F66-AFB1-38DB8C286841}" name="Valor Unitario" dataDxfId="46">
      <calculatedColumnFormula>ROUND(Tabla424623[[#This Row],[Importe Recibo]]/Tabla424623[[#This Row],[Consumo Recibo]],2)</calculatedColumnFormula>
    </tableColumn>
    <tableColumn id="6" xr3:uid="{197DCB43-ABAB-46D9-B723-8F536F4772FF}" name="Total a Pagar" totalsRowFunction="count" dataDxfId="45">
      <calculatedColumnFormula>ROUND(Tabla424623[[#This Row],[Consumo Medidor]]*Tabla424623[[#This Row],[Valor Unitario]],2)</calculatedColumnFormula>
    </tableColumn>
    <tableColumn id="4" xr3:uid="{D71CC376-D799-47B7-9EC5-D84B2085028B}" name="Porcentaje de pago" totalsRowDxfId="44" dataCellStyle="Porcentaje">
      <calculatedColumnFormula>Tabla424623[[#This Row],[Total a Pagar]]/Tabla424623[[#This Row],[Importe Recibo]]</calculatedColumnFormula>
    </tableColumn>
  </tableColumns>
  <tableStyleInfo name="TableStyleMedium2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D7F72E9-EE71-4331-BDCE-F2FBD8A05577}" name="Tabla_Departamento_Antiguo" displayName="Tabla_Departamento_Antiguo" ref="U3:X28" totalsRowShown="0" headerRowDxfId="43" dataDxfId="42">
  <autoFilter ref="U3:X28" xr:uid="{2D7F72E9-EE71-4331-BDCE-F2FBD8A05577}"/>
  <tableColumns count="4">
    <tableColumn id="1" xr3:uid="{AF07AC24-B189-46BB-8281-D5F8ED442470}" name="Total Luz" dataDxfId="41">
      <calculatedColumnFormula>Tabla42422[[#This Row],[Total a Pagar]]</calculatedColumnFormula>
    </tableColumn>
    <tableColumn id="2" xr3:uid="{61497889-BFC9-4F07-B094-ACCBB9428AF0}" name="Total Agua" dataDxfId="40">
      <calculatedColumnFormula>Tabla424623[[#This Row],[Total a Pagar]]</calculatedColumnFormula>
    </tableColumn>
    <tableColumn id="3" xr3:uid="{F92FE7C7-B6A4-4010-AF55-53334E77E06A}" name="Total a Pagar" dataDxfId="39">
      <calculatedColumnFormula>ROUND(Tabla_Departamento_Antiguo[[#This Row],[Total Luz]]+Tabla_Departamento_Antiguo[[#This Row],[Total Agua]],2)</calculatedColumnFormula>
    </tableColumn>
    <tableColumn id="4" xr3:uid="{ECB713FA-7739-4FAC-99D1-E266461C7231}" name="Observaciones" dataDxfId="38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9D17A5F-9B6B-4506-BF47-584FC6088EDD}" name="Tabla42424" displayName="Tabla42424" ref="A3:J28" headerRowDxfId="37" dataDxfId="36" totalsRowDxfId="35">
  <autoFilter ref="A3:J28" xr:uid="{99D17A5F-9B6B-4506-BF47-584FC6088EDD}"/>
  <tableColumns count="10">
    <tableColumn id="7" xr3:uid="{9B16B347-DAC7-4F24-8B04-449387924EAC}" name="Año" dataDxfId="34" totalsRowDxfId="33"/>
    <tableColumn id="1" xr3:uid="{B493B81D-5BA6-49D4-95D9-4E209F8B4A88}" name="Mes" dataDxfId="32"/>
    <tableColumn id="2" xr3:uid="{0EA657A9-E93D-4225-B947-EEC2FB909CA4}" name="Lectura Medidor Actual" dataDxfId="31"/>
    <tableColumn id="3" xr3:uid="{3029A2F2-6B08-4619-8BE4-86644AF8473F}" name="Lectura Medidor Anterior" dataDxfId="30"/>
    <tableColumn id="5" xr3:uid="{6E30BBE5-82DE-4ECB-832B-01642357878F}" name="Consumo Medidor" dataDxfId="29">
      <calculatedColumnFormula>Tabla42424[[#This Row],[Lectura Medidor Actual]]-Tabla42424[[#This Row],[Lectura Medidor Anterior]]</calculatedColumnFormula>
    </tableColumn>
    <tableColumn id="11" xr3:uid="{606C4928-AF2C-4C7F-A4D9-8C40A8E340E8}" name="Importe Recibo" dataDxfId="28">
      <calculatedColumnFormula>Tabla_Luz[[#This Row],[Importe Recibo]]</calculatedColumnFormula>
    </tableColumn>
    <tableColumn id="12" xr3:uid="{0728BA64-7E02-457C-B960-ADCFDF7FB0B1}" name="Consumo Recibo" dataDxfId="27">
      <calculatedColumnFormula>Tabla_Luz[[#This Row],[Consumo Recibo]]</calculatedColumnFormula>
    </tableColumn>
    <tableColumn id="10" xr3:uid="{A87A9876-4751-41AE-8CA1-ECC8709B3AF0}" name="Valor Unitario" dataDxfId="26">
      <calculatedColumnFormula>ROUND(Tabla42424[[#This Row],[Importe Recibo]]/Tabla42424[[#This Row],[Consumo Recibo]],2)</calculatedColumnFormula>
    </tableColumn>
    <tableColumn id="6" xr3:uid="{66F10BE7-715E-4DD7-8B8E-FF77611C0B4F}" name="Total a Pagar" totalsRowFunction="count" dataDxfId="25">
      <calculatedColumnFormula>ROUND(Tabla42424[[#This Row],[Consumo Medidor]]*Tabla42424[[#This Row],[Valor Unitario]],2)</calculatedColumnFormula>
    </tableColumn>
    <tableColumn id="4" xr3:uid="{745EC8BB-4A30-495D-89BD-BAF9D7D5D987}" name="Porcentaje de pago" totalsRowDxfId="24" dataCellStyle="Porcentaje">
      <calculatedColumnFormula>Tabla42424[[#This Row],[Total a Pagar]]/Tabla42424[[#This Row],[Importe Recibo]]</calculatedColumnFormula>
    </tableColumn>
  </tableColumns>
  <tableStyleInfo name="TableStyleMedium3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1D47727-8947-4299-B848-B20E111D8A9F}" name="Tabla424625" displayName="Tabla424625" ref="K3:T28" headerRowDxfId="23" dataDxfId="22" totalsRowDxfId="21">
  <autoFilter ref="K3:T28" xr:uid="{E1D47727-8947-4299-B848-B20E111D8A9F}"/>
  <tableColumns count="10">
    <tableColumn id="7" xr3:uid="{E7D6CDEE-5115-4ED8-851A-C25D7A3B1897}" name="Año" dataDxfId="20" totalsRowDxfId="19"/>
    <tableColumn id="1" xr3:uid="{833F1C2C-ACE3-4735-88ED-F1803F35EDB3}" name="Mes" dataDxfId="18"/>
    <tableColumn id="2" xr3:uid="{80F744FA-1081-4064-BAA0-0CD9CB7304E5}" name="Lectura Medidor Actual" dataDxfId="17"/>
    <tableColumn id="3" xr3:uid="{2690CA1D-DD0D-4EA9-BDEB-25F45F43ECD2}" name="Lectura Medidor Anterior" dataDxfId="16"/>
    <tableColumn id="5" xr3:uid="{BD0001FA-E3AF-471D-BDDC-2381666E3EBA}" name="Consumo Medidor" dataDxfId="15">
      <calculatedColumnFormula>Tabla424625[[#This Row],[Lectura Medidor Actual]]-Tabla424625[[#This Row],[Lectura Medidor Anterior]]</calculatedColumnFormula>
    </tableColumn>
    <tableColumn id="11" xr3:uid="{8B94675C-5256-43C8-A351-E121FDBAA411}" name="Importe Recibo" dataDxfId="14">
      <calculatedColumnFormula>Tabla_Agua[[#This Row],[Importe Recibo]]</calculatedColumnFormula>
    </tableColumn>
    <tableColumn id="12" xr3:uid="{1F75837A-74DF-471B-9081-B02D80709BD5}" name="Consumo Recibo" dataDxfId="13">
      <calculatedColumnFormula>Tabla_Agua[[#This Row],[Consumo Recibo]]</calculatedColumnFormula>
    </tableColumn>
    <tableColumn id="10" xr3:uid="{EA3AD9BF-E31F-4B87-A973-BA27E601E77F}" name="Valor Unitario" dataDxfId="12">
      <calculatedColumnFormula>ROUND(Tabla424625[[#This Row],[Importe Recibo]]/Tabla424625[[#This Row],[Consumo Recibo]],2)</calculatedColumnFormula>
    </tableColumn>
    <tableColumn id="6" xr3:uid="{F4D6773A-E6FF-4552-93E2-C736F5C49982}" name="Total a Pagar" totalsRowFunction="count" dataDxfId="11">
      <calculatedColumnFormula>ROUND(Tabla424625[[#This Row],[Consumo Medidor]]*Tabla424625[[#This Row],[Valor Unitario]],2)</calculatedColumnFormula>
    </tableColumn>
    <tableColumn id="4" xr3:uid="{1560D9B4-5D1A-40E8-93AB-EC5FD7E2E774}" name="Porcentaje de pago" totalsRowDxfId="10" dataCellStyle="Porcentaje">
      <calculatedColumnFormula>Tabla424625[[#This Row],[Total a Pagar]]/Tabla424625[[#This Row],[Importe Recibo]]</calculatedColumnFormula>
    </tableColumn>
  </tableColumns>
  <tableStyleInfo name="TableStyleMedium2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EB6E90-0C6B-4B85-949C-CA333A784DA5}" name="Tabla_Departamento_Nuevo" displayName="Tabla_Departamento_Nuevo" ref="U3:X28" totalsRowShown="0" headerRowDxfId="9" dataDxfId="8" tableBorderDxfId="7">
  <autoFilter ref="U3:X28" xr:uid="{7CEB6E90-0C6B-4B85-949C-CA333A784DA5}"/>
  <tableColumns count="4">
    <tableColumn id="1" xr3:uid="{8BF0DC19-5390-44E3-BD5F-D38410AC90AB}" name="Total Luz" dataDxfId="6">
      <calculatedColumnFormula>Tabla42424[[#This Row],[Total a Pagar]]</calculatedColumnFormula>
    </tableColumn>
    <tableColumn id="2" xr3:uid="{DD792A0D-01C1-48C4-92BE-B48F79CE32D8}" name="Total Agua" dataDxfId="5">
      <calculatedColumnFormula>Tabla424625[[#This Row],[Total a Pagar]]</calculatedColumnFormula>
    </tableColumn>
    <tableColumn id="3" xr3:uid="{998CA66A-D094-4F99-B7F5-64FEA110864E}" name="Total a Pagar" dataDxfId="4">
      <calculatedColumnFormula>ROUND(Tabla42424[[#This Row],[Total a Pagar]]+Tabla424625[[#This Row],[Total a Pagar]],2)</calculatedColumnFormula>
    </tableColumn>
    <tableColumn id="4" xr3:uid="{F460DE8D-4A96-42C0-BC47-7A84BE841D1A}" name="Observaciones" dataDxfId="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EB8B6-5DB8-4A2E-898C-CE1DAA867557}">
  <dimension ref="A1:D28"/>
  <sheetViews>
    <sheetView workbookViewId="0">
      <selection activeCell="A27" sqref="A27"/>
    </sheetView>
  </sheetViews>
  <sheetFormatPr baseColWidth="10" defaultRowHeight="15" x14ac:dyDescent="0.25"/>
  <cols>
    <col min="1" max="1" width="6.85546875" bestFit="1" customWidth="1"/>
    <col min="2" max="2" width="11" bestFit="1" customWidth="1"/>
    <col min="3" max="3" width="16.85546875" bestFit="1" customWidth="1"/>
    <col min="4" max="4" width="18" bestFit="1" customWidth="1"/>
  </cols>
  <sheetData>
    <row r="1" spans="1:4" x14ac:dyDescent="0.25">
      <c r="A1" s="30" t="s">
        <v>38</v>
      </c>
      <c r="B1" s="31"/>
      <c r="C1" s="31"/>
      <c r="D1" s="32"/>
    </row>
    <row r="2" spans="1:4" x14ac:dyDescent="0.25">
      <c r="A2" s="27" t="s">
        <v>36</v>
      </c>
      <c r="B2" s="28"/>
      <c r="C2" s="29" t="s">
        <v>37</v>
      </c>
      <c r="D2" s="27"/>
    </row>
    <row r="3" spans="1:4" x14ac:dyDescent="0.25">
      <c r="A3" s="11" t="s">
        <v>23</v>
      </c>
      <c r="B3" s="11" t="s">
        <v>0</v>
      </c>
      <c r="C3" s="11" t="s">
        <v>13</v>
      </c>
      <c r="D3" s="11" t="s">
        <v>17</v>
      </c>
    </row>
    <row r="4" spans="1:4" x14ac:dyDescent="0.25">
      <c r="A4" s="3">
        <v>2024</v>
      </c>
      <c r="B4" s="8" t="s">
        <v>1</v>
      </c>
      <c r="C4" s="24">
        <v>193</v>
      </c>
      <c r="D4" s="25">
        <v>215</v>
      </c>
    </row>
    <row r="5" spans="1:4" x14ac:dyDescent="0.25">
      <c r="A5" s="3">
        <v>2024</v>
      </c>
      <c r="B5" s="8" t="s">
        <v>2</v>
      </c>
      <c r="C5" s="24">
        <v>259</v>
      </c>
      <c r="D5" s="25">
        <v>299</v>
      </c>
    </row>
    <row r="6" spans="1:4" x14ac:dyDescent="0.25">
      <c r="A6">
        <v>2024</v>
      </c>
      <c r="B6" s="8" t="s">
        <v>3</v>
      </c>
      <c r="C6" s="24">
        <v>241</v>
      </c>
      <c r="D6" s="25">
        <v>282</v>
      </c>
    </row>
    <row r="7" spans="1:4" x14ac:dyDescent="0.25">
      <c r="A7">
        <v>2024</v>
      </c>
      <c r="B7" s="8" t="s">
        <v>4</v>
      </c>
      <c r="C7" s="24">
        <v>337</v>
      </c>
      <c r="D7" s="25">
        <v>395</v>
      </c>
    </row>
    <row r="8" spans="1:4" x14ac:dyDescent="0.25">
      <c r="A8">
        <v>2024</v>
      </c>
      <c r="B8" s="8" t="s">
        <v>5</v>
      </c>
      <c r="C8" s="24">
        <v>391</v>
      </c>
      <c r="D8" s="25">
        <v>462</v>
      </c>
    </row>
    <row r="9" spans="1:4" x14ac:dyDescent="0.25">
      <c r="A9">
        <v>2024</v>
      </c>
      <c r="B9" s="8" t="s">
        <v>6</v>
      </c>
      <c r="C9" s="24">
        <v>404.91</v>
      </c>
      <c r="D9" s="25">
        <v>485</v>
      </c>
    </row>
    <row r="10" spans="1:4" x14ac:dyDescent="0.25">
      <c r="A10">
        <v>2024</v>
      </c>
      <c r="B10" s="8" t="s">
        <v>7</v>
      </c>
      <c r="C10" s="24">
        <v>456.14</v>
      </c>
      <c r="D10" s="25">
        <v>510</v>
      </c>
    </row>
    <row r="11" spans="1:4" x14ac:dyDescent="0.25">
      <c r="A11">
        <v>2024</v>
      </c>
      <c r="B11" s="8" t="s">
        <v>8</v>
      </c>
      <c r="C11" s="24">
        <v>501.5</v>
      </c>
      <c r="D11" s="25">
        <v>560</v>
      </c>
    </row>
    <row r="12" spans="1:4" x14ac:dyDescent="0.25">
      <c r="A12">
        <v>2024</v>
      </c>
      <c r="B12" s="8" t="s">
        <v>9</v>
      </c>
      <c r="C12" s="24">
        <v>512</v>
      </c>
      <c r="D12" s="25">
        <v>577</v>
      </c>
    </row>
    <row r="13" spans="1:4" x14ac:dyDescent="0.25">
      <c r="A13">
        <v>2024</v>
      </c>
      <c r="B13" s="8" t="s">
        <v>32</v>
      </c>
      <c r="C13" s="24">
        <v>421.5</v>
      </c>
      <c r="D13" s="25">
        <v>493</v>
      </c>
    </row>
    <row r="14" spans="1:4" x14ac:dyDescent="0.25">
      <c r="A14">
        <v>2024</v>
      </c>
      <c r="B14" s="8" t="s">
        <v>34</v>
      </c>
      <c r="C14" s="24">
        <v>384</v>
      </c>
      <c r="D14" s="25">
        <v>449</v>
      </c>
    </row>
    <row r="15" spans="1:4" x14ac:dyDescent="0.25">
      <c r="A15">
        <v>2024</v>
      </c>
      <c r="B15" s="8" t="s">
        <v>35</v>
      </c>
      <c r="C15" s="24">
        <v>384</v>
      </c>
      <c r="D15" s="25">
        <v>448</v>
      </c>
    </row>
    <row r="16" spans="1:4" x14ac:dyDescent="0.25">
      <c r="A16">
        <v>2025</v>
      </c>
      <c r="B16" s="8" t="s">
        <v>1</v>
      </c>
      <c r="C16" s="24">
        <v>473</v>
      </c>
      <c r="D16" s="25">
        <v>532</v>
      </c>
    </row>
    <row r="17" spans="1:4" x14ac:dyDescent="0.25">
      <c r="A17">
        <v>2025</v>
      </c>
      <c r="B17" s="8" t="s">
        <v>2</v>
      </c>
      <c r="C17" s="24">
        <v>410</v>
      </c>
      <c r="D17" s="25">
        <v>479</v>
      </c>
    </row>
    <row r="18" spans="1:4" x14ac:dyDescent="0.25">
      <c r="A18">
        <v>2025</v>
      </c>
      <c r="B18" s="8" t="s">
        <v>3</v>
      </c>
      <c r="C18" s="24">
        <v>380.5</v>
      </c>
      <c r="D18" s="25">
        <v>449</v>
      </c>
    </row>
    <row r="19" spans="1:4" x14ac:dyDescent="0.25">
      <c r="A19">
        <v>2025</v>
      </c>
      <c r="B19" s="8" t="s">
        <v>4</v>
      </c>
      <c r="C19" s="24">
        <v>411</v>
      </c>
      <c r="D19" s="25">
        <v>490</v>
      </c>
    </row>
    <row r="20" spans="1:4" x14ac:dyDescent="0.25">
      <c r="A20">
        <v>2025</v>
      </c>
      <c r="B20" s="8" t="s">
        <v>5</v>
      </c>
      <c r="C20" s="24">
        <v>411.59</v>
      </c>
      <c r="D20" s="25">
        <v>493</v>
      </c>
    </row>
    <row r="21" spans="1:4" x14ac:dyDescent="0.25">
      <c r="A21">
        <v>2025</v>
      </c>
      <c r="B21" s="8" t="s">
        <v>6</v>
      </c>
      <c r="C21" s="24">
        <v>479.41</v>
      </c>
      <c r="D21" s="25">
        <v>553</v>
      </c>
    </row>
    <row r="22" spans="1:4" x14ac:dyDescent="0.25">
      <c r="A22">
        <v>2025</v>
      </c>
      <c r="B22" s="8" t="s">
        <v>7</v>
      </c>
      <c r="C22" s="24">
        <v>538.86</v>
      </c>
      <c r="D22" s="25">
        <v>632</v>
      </c>
    </row>
    <row r="23" spans="1:4" x14ac:dyDescent="0.25">
      <c r="A23">
        <v>2025</v>
      </c>
      <c r="B23" s="8" t="s">
        <v>8</v>
      </c>
      <c r="C23" s="24">
        <v>614.91</v>
      </c>
      <c r="D23" s="25">
        <v>714</v>
      </c>
    </row>
    <row r="24" spans="1:4" x14ac:dyDescent="0.25">
      <c r="A24">
        <v>2025</v>
      </c>
      <c r="B24" s="8" t="s">
        <v>9</v>
      </c>
      <c r="C24" s="24">
        <v>549</v>
      </c>
      <c r="D24" s="25">
        <v>650</v>
      </c>
    </row>
    <row r="25" spans="1:4" x14ac:dyDescent="0.25">
      <c r="A25">
        <v>2025</v>
      </c>
      <c r="B25" s="8" t="s">
        <v>32</v>
      </c>
      <c r="C25" s="24">
        <v>500</v>
      </c>
      <c r="D25" s="25">
        <v>595</v>
      </c>
    </row>
    <row r="26" spans="1:4" x14ac:dyDescent="0.25">
      <c r="A26">
        <v>2025</v>
      </c>
      <c r="B26" s="8" t="s">
        <v>34</v>
      </c>
      <c r="C26" s="24">
        <v>449.5</v>
      </c>
      <c r="D26" s="25">
        <v>542</v>
      </c>
    </row>
    <row r="27" spans="1:4" x14ac:dyDescent="0.25">
      <c r="A27">
        <v>2025</v>
      </c>
      <c r="B27" s="8" t="s">
        <v>35</v>
      </c>
      <c r="C27" s="26">
        <v>414</v>
      </c>
      <c r="D27" s="25">
        <v>513</v>
      </c>
    </row>
    <row r="28" spans="1:4" x14ac:dyDescent="0.25">
      <c r="A28">
        <v>2026</v>
      </c>
      <c r="B28" s="23" t="s">
        <v>1</v>
      </c>
      <c r="C28" s="26">
        <v>475</v>
      </c>
      <c r="D28" s="25">
        <v>584</v>
      </c>
    </row>
  </sheetData>
  <mergeCells count="3">
    <mergeCell ref="A2:B2"/>
    <mergeCell ref="C2:D2"/>
    <mergeCell ref="A1:D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46538-33B2-4641-B82A-9CB9D03C3616}">
  <dimension ref="A1:D28"/>
  <sheetViews>
    <sheetView workbookViewId="0">
      <selection activeCell="D32" sqref="D32"/>
    </sheetView>
  </sheetViews>
  <sheetFormatPr baseColWidth="10" defaultColWidth="7" defaultRowHeight="15" x14ac:dyDescent="0.25"/>
  <cols>
    <col min="1" max="1" width="6.85546875" bestFit="1" customWidth="1"/>
    <col min="2" max="2" width="11" bestFit="1" customWidth="1"/>
    <col min="3" max="3" width="16.85546875" bestFit="1" customWidth="1"/>
    <col min="4" max="4" width="18" bestFit="1" customWidth="1"/>
  </cols>
  <sheetData>
    <row r="1" spans="1:4" x14ac:dyDescent="0.25">
      <c r="A1" s="33" t="s">
        <v>39</v>
      </c>
      <c r="B1" s="34"/>
      <c r="C1" s="34"/>
      <c r="D1" s="35"/>
    </row>
    <row r="2" spans="1:4" x14ac:dyDescent="0.25">
      <c r="A2" s="36" t="s">
        <v>36</v>
      </c>
      <c r="B2" s="37"/>
      <c r="C2" s="38" t="s">
        <v>37</v>
      </c>
      <c r="D2" s="36"/>
    </row>
    <row r="3" spans="1:4" x14ac:dyDescent="0.25">
      <c r="A3" t="s">
        <v>23</v>
      </c>
      <c r="B3" t="s">
        <v>0</v>
      </c>
      <c r="C3" t="s">
        <v>13</v>
      </c>
      <c r="D3" t="s">
        <v>17</v>
      </c>
    </row>
    <row r="4" spans="1:4" x14ac:dyDescent="0.25">
      <c r="A4">
        <v>2024</v>
      </c>
      <c r="B4" s="8" t="s">
        <v>1</v>
      </c>
      <c r="C4" s="7">
        <v>379.2</v>
      </c>
      <c r="D4" s="1">
        <v>41</v>
      </c>
    </row>
    <row r="5" spans="1:4" x14ac:dyDescent="0.25">
      <c r="A5">
        <v>2024</v>
      </c>
      <c r="B5" s="8" t="s">
        <v>2</v>
      </c>
      <c r="C5" s="7">
        <v>302.39999999999998</v>
      </c>
      <c r="D5" s="1">
        <v>30</v>
      </c>
    </row>
    <row r="6" spans="1:4" x14ac:dyDescent="0.25">
      <c r="A6">
        <v>2024</v>
      </c>
      <c r="B6" s="8" t="s">
        <v>3</v>
      </c>
      <c r="C6" s="7">
        <v>340.8</v>
      </c>
      <c r="D6" s="1">
        <v>34</v>
      </c>
    </row>
    <row r="7" spans="1:4" x14ac:dyDescent="0.25">
      <c r="A7">
        <v>2024</v>
      </c>
      <c r="B7" s="8" t="s">
        <v>4</v>
      </c>
      <c r="C7" s="7">
        <v>359.6</v>
      </c>
      <c r="D7" s="1">
        <v>36</v>
      </c>
    </row>
    <row r="8" spans="1:4" x14ac:dyDescent="0.25">
      <c r="A8">
        <v>2024</v>
      </c>
      <c r="B8" s="8" t="s">
        <v>5</v>
      </c>
      <c r="C8" s="7">
        <v>439.3</v>
      </c>
      <c r="D8" s="1">
        <v>44</v>
      </c>
    </row>
    <row r="9" spans="1:4" x14ac:dyDescent="0.25">
      <c r="A9">
        <v>2024</v>
      </c>
      <c r="B9" s="8" t="s">
        <v>6</v>
      </c>
      <c r="C9" s="7">
        <v>794.3</v>
      </c>
      <c r="D9" s="1">
        <v>79</v>
      </c>
    </row>
    <row r="10" spans="1:4" x14ac:dyDescent="0.25">
      <c r="A10">
        <v>2024</v>
      </c>
      <c r="B10" s="8" t="s">
        <v>7</v>
      </c>
      <c r="C10" s="7">
        <v>453.8</v>
      </c>
      <c r="D10" s="1">
        <v>53</v>
      </c>
    </row>
    <row r="11" spans="1:4" x14ac:dyDescent="0.25">
      <c r="A11">
        <v>2024</v>
      </c>
      <c r="B11" s="8" t="s">
        <v>8</v>
      </c>
      <c r="C11" s="7">
        <v>424.2</v>
      </c>
      <c r="D11" s="1">
        <v>50</v>
      </c>
    </row>
    <row r="12" spans="1:4" x14ac:dyDescent="0.25">
      <c r="A12">
        <v>2024</v>
      </c>
      <c r="B12" s="8" t="s">
        <v>9</v>
      </c>
      <c r="C12" s="7">
        <v>455.7</v>
      </c>
      <c r="D12" s="1">
        <v>54</v>
      </c>
    </row>
    <row r="13" spans="1:4" x14ac:dyDescent="0.25">
      <c r="A13">
        <v>2024</v>
      </c>
      <c r="B13" s="8" t="s">
        <v>32</v>
      </c>
      <c r="C13" s="7">
        <v>441.1</v>
      </c>
      <c r="D13" s="1">
        <v>52</v>
      </c>
    </row>
    <row r="14" spans="1:4" x14ac:dyDescent="0.25">
      <c r="A14">
        <v>2024</v>
      </c>
      <c r="B14" s="8" t="s">
        <v>34</v>
      </c>
      <c r="C14" s="7">
        <v>616.4</v>
      </c>
      <c r="D14" s="1">
        <v>73</v>
      </c>
    </row>
    <row r="15" spans="1:4" x14ac:dyDescent="0.25">
      <c r="A15">
        <v>2024</v>
      </c>
      <c r="B15" s="8" t="s">
        <v>35</v>
      </c>
      <c r="C15" s="7">
        <v>618.6</v>
      </c>
      <c r="D15" s="1">
        <v>73</v>
      </c>
    </row>
    <row r="16" spans="1:4" x14ac:dyDescent="0.25">
      <c r="A16">
        <v>2025</v>
      </c>
      <c r="B16" s="8" t="s">
        <v>1</v>
      </c>
      <c r="C16" s="7">
        <v>808.1</v>
      </c>
      <c r="D16" s="1">
        <v>95</v>
      </c>
    </row>
    <row r="17" spans="1:4" x14ac:dyDescent="0.25">
      <c r="A17">
        <v>2025</v>
      </c>
      <c r="B17" s="8" t="s">
        <v>2</v>
      </c>
      <c r="C17" s="7">
        <v>646.29999999999995</v>
      </c>
      <c r="D17" s="1">
        <v>76</v>
      </c>
    </row>
    <row r="18" spans="1:4" x14ac:dyDescent="0.25">
      <c r="A18">
        <v>2025</v>
      </c>
      <c r="B18" s="8" t="s">
        <v>3</v>
      </c>
      <c r="C18" s="7">
        <v>663.3</v>
      </c>
      <c r="D18" s="1">
        <v>79</v>
      </c>
    </row>
    <row r="19" spans="1:4" x14ac:dyDescent="0.25">
      <c r="A19">
        <v>2025</v>
      </c>
      <c r="B19" s="8" t="s">
        <v>4</v>
      </c>
      <c r="C19" s="7">
        <v>576</v>
      </c>
      <c r="D19" s="1">
        <v>68</v>
      </c>
    </row>
    <row r="20" spans="1:4" x14ac:dyDescent="0.25">
      <c r="A20">
        <v>2025</v>
      </c>
      <c r="B20" s="8" t="s">
        <v>5</v>
      </c>
      <c r="C20" s="7">
        <v>609.20000000000005</v>
      </c>
      <c r="D20" s="1">
        <v>72</v>
      </c>
    </row>
    <row r="21" spans="1:4" x14ac:dyDescent="0.25">
      <c r="A21">
        <v>2025</v>
      </c>
      <c r="B21" s="8" t="s">
        <v>6</v>
      </c>
      <c r="C21" s="7">
        <v>732.5</v>
      </c>
      <c r="D21" s="1">
        <v>86</v>
      </c>
    </row>
    <row r="22" spans="1:4" x14ac:dyDescent="0.25">
      <c r="A22">
        <v>2025</v>
      </c>
      <c r="B22" s="8" t="s">
        <v>7</v>
      </c>
      <c r="C22" s="7">
        <v>903.6</v>
      </c>
      <c r="D22" s="1">
        <v>105</v>
      </c>
    </row>
    <row r="23" spans="1:4" x14ac:dyDescent="0.25">
      <c r="A23">
        <v>2025</v>
      </c>
      <c r="B23" s="8" t="s">
        <v>8</v>
      </c>
      <c r="C23" s="7">
        <v>551.6</v>
      </c>
      <c r="D23" s="1">
        <v>65</v>
      </c>
    </row>
    <row r="24" spans="1:4" x14ac:dyDescent="0.25">
      <c r="A24">
        <v>2025</v>
      </c>
      <c r="B24" s="8" t="s">
        <v>9</v>
      </c>
      <c r="C24" s="7">
        <v>1136.9000000000001</v>
      </c>
      <c r="D24" s="1">
        <v>130</v>
      </c>
    </row>
    <row r="25" spans="1:4" x14ac:dyDescent="0.25">
      <c r="A25">
        <v>2025</v>
      </c>
      <c r="B25" s="8" t="s">
        <v>32</v>
      </c>
      <c r="C25" s="7">
        <v>715.3</v>
      </c>
      <c r="D25" s="1">
        <v>84</v>
      </c>
    </row>
    <row r="26" spans="1:4" x14ac:dyDescent="0.25">
      <c r="A26">
        <v>2025</v>
      </c>
      <c r="B26" s="8" t="s">
        <v>34</v>
      </c>
      <c r="C26" s="7">
        <v>981</v>
      </c>
      <c r="D26" s="1">
        <v>114</v>
      </c>
    </row>
    <row r="27" spans="1:4" x14ac:dyDescent="0.25">
      <c r="A27">
        <v>2025</v>
      </c>
      <c r="B27" s="8" t="s">
        <v>35</v>
      </c>
      <c r="C27" s="7">
        <v>745.1</v>
      </c>
      <c r="D27" s="1">
        <v>88</v>
      </c>
    </row>
    <row r="28" spans="1:4" x14ac:dyDescent="0.25">
      <c r="A28">
        <v>2026</v>
      </c>
      <c r="B28" s="8" t="s">
        <v>1</v>
      </c>
      <c r="C28" s="7">
        <v>773.6</v>
      </c>
      <c r="D28" s="1">
        <v>91</v>
      </c>
    </row>
  </sheetData>
  <mergeCells count="3">
    <mergeCell ref="A1:D1"/>
    <mergeCell ref="A2:B2"/>
    <mergeCell ref="C2:D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3B16E-E526-484C-ADB5-8F269D1AC3BD}">
  <dimension ref="A1:E28"/>
  <sheetViews>
    <sheetView workbookViewId="0">
      <selection activeCell="H28" sqref="H28"/>
    </sheetView>
  </sheetViews>
  <sheetFormatPr baseColWidth="10" defaultRowHeight="15" x14ac:dyDescent="0.25"/>
  <cols>
    <col min="1" max="1" width="6.85546875" bestFit="1" customWidth="1"/>
    <col min="2" max="2" width="11" bestFit="1" customWidth="1"/>
    <col min="3" max="3" width="18.140625" bestFit="1" customWidth="1"/>
    <col min="4" max="4" width="16.42578125" bestFit="1" customWidth="1"/>
    <col min="5" max="5" width="12.85546875" bestFit="1" customWidth="1"/>
  </cols>
  <sheetData>
    <row r="1" spans="1:5" x14ac:dyDescent="0.25">
      <c r="A1" s="39" t="s">
        <v>43</v>
      </c>
      <c r="B1" s="39"/>
      <c r="C1" s="39"/>
      <c r="D1" s="39"/>
      <c r="E1" s="39"/>
    </row>
    <row r="2" spans="1:5" x14ac:dyDescent="0.25">
      <c r="A2" s="39" t="s">
        <v>36</v>
      </c>
      <c r="B2" s="39"/>
      <c r="C2" s="40" t="s">
        <v>42</v>
      </c>
      <c r="D2" s="39"/>
      <c r="E2" s="39"/>
    </row>
    <row r="3" spans="1:5" x14ac:dyDescent="0.25">
      <c r="A3" s="21" t="s">
        <v>23</v>
      </c>
      <c r="B3" s="22" t="s">
        <v>0</v>
      </c>
      <c r="C3" s="19" t="s">
        <v>41</v>
      </c>
      <c r="D3" s="19" t="s">
        <v>40</v>
      </c>
      <c r="E3" t="s">
        <v>44</v>
      </c>
    </row>
    <row r="4" spans="1:5" x14ac:dyDescent="0.25">
      <c r="A4">
        <v>2024</v>
      </c>
      <c r="B4" t="s">
        <v>1</v>
      </c>
      <c r="C4" s="19">
        <f>SUM(Tabla_Peluqueria[[#This Row],[Total a Pagar]],Tabla_Lavanderia[[#This Row],[Total a Pagar]],Tabla_Departamento_Antiguo[[#This Row],[Total a Pagar]],Tabla_Departamento_Nuevo[[#This Row],[Total a Pagar]])</f>
        <v>645.29999999999995</v>
      </c>
      <c r="D4" s="19">
        <f>SUM(Tabla_Luz[[#This Row],[Importe Recibo]],Tabla_Agua[[#This Row],[Importe Recibo]])</f>
        <v>572.20000000000005</v>
      </c>
      <c r="E4" s="20">
        <f>ROUND(IMSUB(Tabla_Total_General[[#This Row],[Total Calculado]],Tabla_Total_General[[#This Row],[Total Recibos]]),2)</f>
        <v>73.099999999999994</v>
      </c>
    </row>
    <row r="5" spans="1:5" x14ac:dyDescent="0.25">
      <c r="A5">
        <v>2024</v>
      </c>
      <c r="B5" t="s">
        <v>2</v>
      </c>
      <c r="C5" s="19">
        <f>SUM(Tabla_Peluqueria[[#This Row],[Total a Pagar]],Tabla_Lavanderia[[#This Row],[Total a Pagar]],Tabla_Departamento_Antiguo[[#This Row],[Total a Pagar]],Tabla_Departamento_Nuevo[[#This Row],[Total a Pagar]])</f>
        <v>632.06999999999994</v>
      </c>
      <c r="D5" s="19">
        <f>SUM(Tabla_Luz[[#This Row],[Importe Recibo]],Tabla_Agua[[#This Row],[Importe Recibo]])</f>
        <v>561.4</v>
      </c>
      <c r="E5" s="20">
        <f>ROUND(IMSUB(Tabla_Total_General[[#This Row],[Total Calculado]],Tabla_Total_General[[#This Row],[Total Recibos]]),2)</f>
        <v>70.67</v>
      </c>
    </row>
    <row r="6" spans="1:5" x14ac:dyDescent="0.25">
      <c r="A6">
        <v>2024</v>
      </c>
      <c r="B6" t="s">
        <v>3</v>
      </c>
      <c r="C6" s="19">
        <f>SUM(Tabla_Peluqueria[[#This Row],[Total a Pagar]],Tabla_Lavanderia[[#This Row],[Total a Pagar]],Tabla_Departamento_Antiguo[[#This Row],[Total a Pagar]],Tabla_Departamento_Nuevo[[#This Row],[Total a Pagar]])</f>
        <v>594.16000000000008</v>
      </c>
      <c r="D6" s="19">
        <f>SUM(Tabla_Luz[[#This Row],[Importe Recibo]],Tabla_Agua[[#This Row],[Importe Recibo]])</f>
        <v>581.79999999999995</v>
      </c>
      <c r="E6" s="20">
        <f>ROUND(IMSUB(Tabla_Total_General[[#This Row],[Total Calculado]],Tabla_Total_General[[#This Row],[Total Recibos]]),2)</f>
        <v>12.36</v>
      </c>
    </row>
    <row r="7" spans="1:5" x14ac:dyDescent="0.25">
      <c r="A7">
        <v>2024</v>
      </c>
      <c r="B7" t="s">
        <v>4</v>
      </c>
      <c r="C7" s="19">
        <f>SUM(Tabla_Peluqueria[[#This Row],[Total a Pagar]],Tabla_Lavanderia[[#This Row],[Total a Pagar]],Tabla_Departamento_Antiguo[[#This Row],[Total a Pagar]],Tabla_Departamento_Nuevo[[#This Row],[Total a Pagar]])</f>
        <v>967</v>
      </c>
      <c r="D7" s="19">
        <f>SUM(Tabla_Luz[[#This Row],[Importe Recibo]],Tabla_Agua[[#This Row],[Importe Recibo]])</f>
        <v>696.6</v>
      </c>
      <c r="E7" s="20">
        <f>ROUND(IMSUB(Tabla_Total_General[[#This Row],[Total Calculado]],Tabla_Total_General[[#This Row],[Total Recibos]]),2)</f>
        <v>270.39999999999998</v>
      </c>
    </row>
    <row r="8" spans="1:5" x14ac:dyDescent="0.25">
      <c r="A8">
        <v>2024</v>
      </c>
      <c r="B8" t="s">
        <v>5</v>
      </c>
      <c r="C8" s="19">
        <f>SUM(Tabla_Peluqueria[[#This Row],[Total a Pagar]],Tabla_Lavanderia[[#This Row],[Total a Pagar]],Tabla_Departamento_Antiguo[[#This Row],[Total a Pagar]],Tabla_Departamento_Nuevo[[#This Row],[Total a Pagar]])</f>
        <v>738.56999999999994</v>
      </c>
      <c r="D8" s="19">
        <f>SUM(Tabla_Luz[[#This Row],[Importe Recibo]],Tabla_Agua[[#This Row],[Importe Recibo]])</f>
        <v>830.3</v>
      </c>
      <c r="E8" s="20">
        <f>ROUND(IMSUB(Tabla_Total_General[[#This Row],[Total Calculado]],Tabla_Total_General[[#This Row],[Total Recibos]]),2)</f>
        <v>-91.73</v>
      </c>
    </row>
    <row r="9" spans="1:5" x14ac:dyDescent="0.25">
      <c r="A9">
        <v>2024</v>
      </c>
      <c r="B9" t="s">
        <v>6</v>
      </c>
      <c r="C9" s="19">
        <f>SUM(Tabla_Peluqueria[[#This Row],[Total a Pagar]],Tabla_Lavanderia[[#This Row],[Total a Pagar]],Tabla_Departamento_Antiguo[[#This Row],[Total a Pagar]],Tabla_Departamento_Nuevo[[#This Row],[Total a Pagar]])</f>
        <v>803.07</v>
      </c>
      <c r="D9" s="19">
        <f>SUM(Tabla_Luz[[#This Row],[Importe Recibo]],Tabla_Agua[[#This Row],[Importe Recibo]])</f>
        <v>1199.21</v>
      </c>
      <c r="E9" s="20">
        <f>ROUND(IMSUB(Tabla_Total_General[[#This Row],[Total Calculado]],Tabla_Total_General[[#This Row],[Total Recibos]]),2)</f>
        <v>-396.14</v>
      </c>
    </row>
    <row r="10" spans="1:5" x14ac:dyDescent="0.25">
      <c r="A10">
        <v>2024</v>
      </c>
      <c r="B10" t="s">
        <v>7</v>
      </c>
      <c r="C10" s="19">
        <f>SUM(Tabla_Peluqueria[[#This Row],[Total a Pagar]],Tabla_Lavanderia[[#This Row],[Total a Pagar]],Tabla_Departamento_Antiguo[[#This Row],[Total a Pagar]],Tabla_Departamento_Nuevo[[#This Row],[Total a Pagar]])</f>
        <v>908.26</v>
      </c>
      <c r="D10" s="19">
        <f>SUM(Tabla_Luz[[#This Row],[Importe Recibo]],Tabla_Agua[[#This Row],[Importe Recibo]])</f>
        <v>909.94</v>
      </c>
      <c r="E10" s="20">
        <f>ROUND(IMSUB(Tabla_Total_General[[#This Row],[Total Calculado]],Tabla_Total_General[[#This Row],[Total Recibos]]),2)</f>
        <v>-1.68</v>
      </c>
    </row>
    <row r="11" spans="1:5" x14ac:dyDescent="0.25">
      <c r="A11">
        <v>2024</v>
      </c>
      <c r="B11" t="s">
        <v>8</v>
      </c>
      <c r="C11" s="19">
        <f>SUM(Tabla_Peluqueria[[#This Row],[Total a Pagar]],Tabla_Lavanderia[[#This Row],[Total a Pagar]],Tabla_Departamento_Antiguo[[#This Row],[Total a Pagar]],Tabla_Departamento_Nuevo[[#This Row],[Total a Pagar]])</f>
        <v>1021.1800000000001</v>
      </c>
      <c r="D11" s="19">
        <f>SUM(Tabla_Luz[[#This Row],[Importe Recibo]],Tabla_Agua[[#This Row],[Importe Recibo]])</f>
        <v>925.7</v>
      </c>
      <c r="E11" s="20">
        <f>ROUND(IMSUB(Tabla_Total_General[[#This Row],[Total Calculado]],Tabla_Total_General[[#This Row],[Total Recibos]]),2)</f>
        <v>95.48</v>
      </c>
    </row>
    <row r="12" spans="1:5" x14ac:dyDescent="0.25">
      <c r="A12">
        <v>2024</v>
      </c>
      <c r="B12" t="s">
        <v>9</v>
      </c>
      <c r="C12" s="19">
        <f>SUM(Tabla_Peluqueria[[#This Row],[Total a Pagar]],Tabla_Lavanderia[[#This Row],[Total a Pagar]],Tabla_Departamento_Antiguo[[#This Row],[Total a Pagar]],Tabla_Departamento_Nuevo[[#This Row],[Total a Pagar]])</f>
        <v>833.21</v>
      </c>
      <c r="D12" s="19">
        <f>SUM(Tabla_Luz[[#This Row],[Importe Recibo]],Tabla_Agua[[#This Row],[Importe Recibo]])</f>
        <v>967.7</v>
      </c>
      <c r="E12" s="20">
        <f>ROUND(IMSUB(Tabla_Total_General[[#This Row],[Total Calculado]],Tabla_Total_General[[#This Row],[Total Recibos]]),2)</f>
        <v>-134.49</v>
      </c>
    </row>
    <row r="13" spans="1:5" x14ac:dyDescent="0.25">
      <c r="A13">
        <v>2024</v>
      </c>
      <c r="B13" t="s">
        <v>32</v>
      </c>
      <c r="C13" s="19">
        <f>SUM(Tabla_Peluqueria[[#This Row],[Total a Pagar]],Tabla_Lavanderia[[#This Row],[Total a Pagar]],Tabla_Departamento_Antiguo[[#This Row],[Total a Pagar]],Tabla_Departamento_Nuevo[[#This Row],[Total a Pagar]])</f>
        <v>910.81</v>
      </c>
      <c r="D13" s="19">
        <f>SUM(Tabla_Luz[[#This Row],[Importe Recibo]],Tabla_Agua[[#This Row],[Importe Recibo]])</f>
        <v>862.6</v>
      </c>
      <c r="E13" s="20">
        <f>ROUND(IMSUB(Tabla_Total_General[[#This Row],[Total Calculado]],Tabla_Total_General[[#This Row],[Total Recibos]]),2)</f>
        <v>48.21</v>
      </c>
    </row>
    <row r="14" spans="1:5" x14ac:dyDescent="0.25">
      <c r="A14">
        <v>2024</v>
      </c>
      <c r="B14" t="s">
        <v>34</v>
      </c>
      <c r="C14" s="19">
        <f>SUM(Tabla_Peluqueria[[#This Row],[Total a Pagar]],Tabla_Lavanderia[[#This Row],[Total a Pagar]],Tabla_Departamento_Antiguo[[#This Row],[Total a Pagar]],Tabla_Departamento_Nuevo[[#This Row],[Total a Pagar]])</f>
        <v>986.24</v>
      </c>
      <c r="D14" s="19">
        <f>SUM(Tabla_Luz[[#This Row],[Importe Recibo]],Tabla_Agua[[#This Row],[Importe Recibo]])</f>
        <v>1000.4</v>
      </c>
      <c r="E14" s="20">
        <f>ROUND(IMSUB(Tabla_Total_General[[#This Row],[Total Calculado]],Tabla_Total_General[[#This Row],[Total Recibos]]),2)</f>
        <v>-14.16</v>
      </c>
    </row>
    <row r="15" spans="1:5" x14ac:dyDescent="0.25">
      <c r="A15">
        <v>2024</v>
      </c>
      <c r="B15" t="s">
        <v>35</v>
      </c>
      <c r="C15" s="19">
        <f>SUM(Tabla_Peluqueria[[#This Row],[Total a Pagar]],Tabla_Lavanderia[[#This Row],[Total a Pagar]],Tabla_Departamento_Antiguo[[#This Row],[Total a Pagar]],Tabla_Departamento_Nuevo[[#This Row],[Total a Pagar]])</f>
        <v>1048.52</v>
      </c>
      <c r="D15" s="19">
        <f>SUM(Tabla_Luz[[#This Row],[Importe Recibo]],Tabla_Agua[[#This Row],[Importe Recibo]])</f>
        <v>1002.6</v>
      </c>
      <c r="E15" s="20">
        <f>ROUND(IMSUB(Tabla_Total_General[[#This Row],[Total Calculado]],Tabla_Total_General[[#This Row],[Total Recibos]]),2)</f>
        <v>45.92</v>
      </c>
    </row>
    <row r="16" spans="1:5" x14ac:dyDescent="0.25">
      <c r="A16">
        <v>2025</v>
      </c>
      <c r="B16" t="s">
        <v>1</v>
      </c>
      <c r="C16" s="19">
        <f>SUM(Tabla_Peluqueria[[#This Row],[Total a Pagar]],Tabla_Lavanderia[[#This Row],[Total a Pagar]],Tabla_Departamento_Antiguo[[#This Row],[Total a Pagar]],Tabla_Departamento_Nuevo[[#This Row],[Total a Pagar]])</f>
        <v>1305.57</v>
      </c>
      <c r="D16" s="19">
        <f>SUM(Tabla_Luz[[#This Row],[Importe Recibo]],Tabla_Agua[[#This Row],[Importe Recibo]])</f>
        <v>1281.0999999999999</v>
      </c>
      <c r="E16" s="20">
        <f>ROUND(IMSUB(Tabla_Total_General[[#This Row],[Total Calculado]],Tabla_Total_General[[#This Row],[Total Recibos]]),2)</f>
        <v>24.47</v>
      </c>
    </row>
    <row r="17" spans="1:5" x14ac:dyDescent="0.25">
      <c r="A17">
        <v>2025</v>
      </c>
      <c r="B17" t="s">
        <v>2</v>
      </c>
      <c r="C17" s="19">
        <f>SUM(Tabla_Peluqueria[[#This Row],[Total a Pagar]],Tabla_Lavanderia[[#This Row],[Total a Pagar]],Tabla_Departamento_Antiguo[[#This Row],[Total a Pagar]],Tabla_Departamento_Nuevo[[#This Row],[Total a Pagar]])</f>
        <v>969.96</v>
      </c>
      <c r="D17" s="19">
        <f>SUM(Tabla_Luz[[#This Row],[Importe Recibo]],Tabla_Agua[[#This Row],[Importe Recibo]])</f>
        <v>1056.3</v>
      </c>
      <c r="E17" s="20">
        <f>ROUND(IMSUB(Tabla_Total_General[[#This Row],[Total Calculado]],Tabla_Total_General[[#This Row],[Total Recibos]]),2)</f>
        <v>-86.34</v>
      </c>
    </row>
    <row r="18" spans="1:5" x14ac:dyDescent="0.25">
      <c r="A18">
        <v>2025</v>
      </c>
      <c r="B18" t="s">
        <v>3</v>
      </c>
      <c r="C18" s="19">
        <f>SUM(Tabla_Peluqueria[[#This Row],[Total a Pagar]],Tabla_Lavanderia[[#This Row],[Total a Pagar]],Tabla_Departamento_Antiguo[[#This Row],[Total a Pagar]],Tabla_Departamento_Nuevo[[#This Row],[Total a Pagar]])</f>
        <v>1056.4000000000001</v>
      </c>
      <c r="D18" s="19">
        <f>SUM(Tabla_Luz[[#This Row],[Importe Recibo]],Tabla_Agua[[#This Row],[Importe Recibo]])</f>
        <v>1043.8</v>
      </c>
      <c r="E18" s="20">
        <f>ROUND(IMSUB(Tabla_Total_General[[#This Row],[Total Calculado]],Tabla_Total_General[[#This Row],[Total Recibos]]),2)</f>
        <v>12.6</v>
      </c>
    </row>
    <row r="19" spans="1:5" x14ac:dyDescent="0.25">
      <c r="A19">
        <v>2025</v>
      </c>
      <c r="B19" t="s">
        <v>4</v>
      </c>
      <c r="C19" s="19">
        <f>SUM(Tabla_Peluqueria[[#This Row],[Total a Pagar]],Tabla_Lavanderia[[#This Row],[Total a Pagar]],Tabla_Departamento_Antiguo[[#This Row],[Total a Pagar]],Tabla_Departamento_Nuevo[[#This Row],[Total a Pagar]])</f>
        <v>968.1</v>
      </c>
      <c r="D19" s="19">
        <f>SUM(Tabla_Luz[[#This Row],[Importe Recibo]],Tabla_Agua[[#This Row],[Importe Recibo]])</f>
        <v>987</v>
      </c>
      <c r="E19" s="20">
        <f>ROUND(IMSUB(Tabla_Total_General[[#This Row],[Total Calculado]],Tabla_Total_General[[#This Row],[Total Recibos]]),2)</f>
        <v>-18.899999999999999</v>
      </c>
    </row>
    <row r="20" spans="1:5" x14ac:dyDescent="0.25">
      <c r="A20">
        <v>2025</v>
      </c>
      <c r="B20" t="s">
        <v>5</v>
      </c>
      <c r="C20" s="19">
        <f>SUM(Tabla_Peluqueria[[#This Row],[Total a Pagar]],Tabla_Lavanderia[[#This Row],[Total a Pagar]],Tabla_Departamento_Antiguo[[#This Row],[Total a Pagar]],Tabla_Departamento_Nuevo[[#This Row],[Total a Pagar]])</f>
        <v>1003.53</v>
      </c>
      <c r="D20" s="19">
        <f>SUM(Tabla_Luz[[#This Row],[Importe Recibo]],Tabla_Agua[[#This Row],[Importe Recibo]])</f>
        <v>1020.79</v>
      </c>
      <c r="E20" s="20">
        <f>ROUND(IMSUB(Tabla_Total_General[[#This Row],[Total Calculado]],Tabla_Total_General[[#This Row],[Total Recibos]]),2)</f>
        <v>-17.260000000000002</v>
      </c>
    </row>
    <row r="21" spans="1:5" x14ac:dyDescent="0.25">
      <c r="A21">
        <v>2025</v>
      </c>
      <c r="B21" t="s">
        <v>6</v>
      </c>
      <c r="C21" s="19">
        <f>SUM(Tabla_Peluqueria[[#This Row],[Total a Pagar]],Tabla_Lavanderia[[#This Row],[Total a Pagar]],Tabla_Departamento_Antiguo[[#This Row],[Total a Pagar]],Tabla_Departamento_Nuevo[[#This Row],[Total a Pagar]])</f>
        <v>1398.5400000000002</v>
      </c>
      <c r="D21" s="19">
        <f>SUM(Tabla_Luz[[#This Row],[Importe Recibo]],Tabla_Agua[[#This Row],[Importe Recibo]])</f>
        <v>1211.9100000000001</v>
      </c>
      <c r="E21" s="20">
        <f>ROUND(IMSUB(Tabla_Total_General[[#This Row],[Total Calculado]],Tabla_Total_General[[#This Row],[Total Recibos]]),2)</f>
        <v>186.63</v>
      </c>
    </row>
    <row r="22" spans="1:5" x14ac:dyDescent="0.25">
      <c r="A22">
        <v>2025</v>
      </c>
      <c r="B22" t="s">
        <v>7</v>
      </c>
      <c r="C22" s="19">
        <f>SUM(Tabla_Peluqueria[[#This Row],[Total a Pagar]],Tabla_Lavanderia[[#This Row],[Total a Pagar]],Tabla_Departamento_Antiguo[[#This Row],[Total a Pagar]],Tabla_Departamento_Nuevo[[#This Row],[Total a Pagar]])</f>
        <v>1480.3500000000001</v>
      </c>
      <c r="D22" s="19">
        <f>SUM(Tabla_Luz[[#This Row],[Importe Recibo]],Tabla_Agua[[#This Row],[Importe Recibo]])</f>
        <v>1442.46</v>
      </c>
      <c r="E22" s="20">
        <f>ROUND(IMSUB(Tabla_Total_General[[#This Row],[Total Calculado]],Tabla_Total_General[[#This Row],[Total Recibos]]),2)</f>
        <v>37.89</v>
      </c>
    </row>
    <row r="23" spans="1:5" x14ac:dyDescent="0.25">
      <c r="A23">
        <v>2025</v>
      </c>
      <c r="B23" t="s">
        <v>8</v>
      </c>
      <c r="C23" s="19">
        <f>SUM(Tabla_Peluqueria[[#This Row],[Total a Pagar]],Tabla_Lavanderia[[#This Row],[Total a Pagar]],Tabla_Departamento_Antiguo[[#This Row],[Total a Pagar]],Tabla_Departamento_Nuevo[[#This Row],[Total a Pagar]])</f>
        <v>1404.1399999999999</v>
      </c>
      <c r="D23" s="19">
        <f>SUM(Tabla_Luz[[#This Row],[Importe Recibo]],Tabla_Agua[[#This Row],[Importe Recibo]])</f>
        <v>1166.51</v>
      </c>
      <c r="E23" s="20">
        <f>ROUND(IMSUB(Tabla_Total_General[[#This Row],[Total Calculado]],Tabla_Total_General[[#This Row],[Total Recibos]]),2)</f>
        <v>237.63</v>
      </c>
    </row>
    <row r="24" spans="1:5" x14ac:dyDescent="0.25">
      <c r="A24">
        <v>2025</v>
      </c>
      <c r="B24" t="s">
        <v>9</v>
      </c>
      <c r="C24" s="19">
        <f>SUM(Tabla_Peluqueria[[#This Row],[Total a Pagar]],Tabla_Lavanderia[[#This Row],[Total a Pagar]],Tabla_Departamento_Antiguo[[#This Row],[Total a Pagar]],Tabla_Departamento_Nuevo[[#This Row],[Total a Pagar]])</f>
        <v>1444.5900000000001</v>
      </c>
      <c r="D24" s="19">
        <f>SUM(Tabla_Luz[[#This Row],[Importe Recibo]],Tabla_Agua[[#This Row],[Importe Recibo]])</f>
        <v>1685.9</v>
      </c>
      <c r="E24" s="20">
        <f>ROUND(IMSUB(Tabla_Total_General[[#This Row],[Total Calculado]],Tabla_Total_General[[#This Row],[Total Recibos]]),2)</f>
        <v>-241.31</v>
      </c>
    </row>
    <row r="25" spans="1:5" x14ac:dyDescent="0.25">
      <c r="A25">
        <v>2025</v>
      </c>
      <c r="B25" t="s">
        <v>32</v>
      </c>
      <c r="C25" s="19">
        <f>SUM(Tabla_Peluqueria[[#This Row],[Total a Pagar]],Tabla_Lavanderia[[#This Row],[Total a Pagar]],Tabla_Departamento_Antiguo[[#This Row],[Total a Pagar]],Tabla_Departamento_Nuevo[[#This Row],[Total a Pagar]])</f>
        <v>1280.52</v>
      </c>
      <c r="D25" s="19">
        <f>SUM(Tabla_Luz[[#This Row],[Importe Recibo]],Tabla_Agua[[#This Row],[Importe Recibo]])</f>
        <v>1215.3</v>
      </c>
      <c r="E25" s="20">
        <f>ROUND(IMSUB(Tabla_Total_General[[#This Row],[Total Calculado]],Tabla_Total_General[[#This Row],[Total Recibos]]),2)</f>
        <v>65.22</v>
      </c>
    </row>
    <row r="26" spans="1:5" x14ac:dyDescent="0.25">
      <c r="A26">
        <v>2025</v>
      </c>
      <c r="B26" t="s">
        <v>34</v>
      </c>
      <c r="C26" s="19">
        <f>SUM(Tabla_Peluqueria[[#This Row],[Total a Pagar]],Tabla_Lavanderia[[#This Row],[Total a Pagar]],Tabla_Departamento_Antiguo[[#This Row],[Total a Pagar]],Tabla_Departamento_Nuevo[[#This Row],[Total a Pagar]])</f>
        <v>1178.5899999999999</v>
      </c>
      <c r="D26" s="19">
        <f>SUM(Tabla_Luz[[#This Row],[Importe Recibo]],Tabla_Agua[[#This Row],[Importe Recibo]])</f>
        <v>1430.5</v>
      </c>
      <c r="E26" s="20">
        <f>ROUND(IMSUB(Tabla_Total_General[[#This Row],[Total Calculado]],Tabla_Total_General[[#This Row],[Total Recibos]]),2)</f>
        <v>-251.91</v>
      </c>
    </row>
    <row r="27" spans="1:5" x14ac:dyDescent="0.25">
      <c r="A27">
        <v>2025</v>
      </c>
      <c r="B27" t="s">
        <v>35</v>
      </c>
      <c r="C27" s="19">
        <f>SUM(Tabla_Peluqueria[[#This Row],[Total a Pagar]],Tabla_Lavanderia[[#This Row],[Total a Pagar]],Tabla_Departamento_Antiguo[[#This Row],[Total a Pagar]],Tabla_Departamento_Nuevo[[#This Row],[Total a Pagar]])</f>
        <v>1402.89</v>
      </c>
      <c r="D27" s="19">
        <f>SUM(Tabla_Luz[[#This Row],[Importe Recibo]],Tabla_Agua[[#This Row],[Importe Recibo]])</f>
        <v>1159.0999999999999</v>
      </c>
      <c r="E27" s="20">
        <f>ROUND(IMSUB(Tabla_Total_General[[#This Row],[Total Calculado]],Tabla_Total_General[[#This Row],[Total Recibos]]),2)</f>
        <v>243.79</v>
      </c>
    </row>
    <row r="28" spans="1:5" x14ac:dyDescent="0.25">
      <c r="A28">
        <v>2026</v>
      </c>
      <c r="B28" t="s">
        <v>1</v>
      </c>
      <c r="C28" s="19">
        <f>SUM(Tabla_Peluqueria[[#This Row],[Total a Pagar]],Tabla_Lavanderia[[#This Row],[Total a Pagar]],Tabla_Departamento_Antiguo[[#This Row],[Total a Pagar]],Tabla_Departamento_Nuevo[[#This Row],[Total a Pagar]])</f>
        <v>784.18000000000006</v>
      </c>
      <c r="D28" s="19">
        <f>SUM(Tabla_Luz[[#This Row],[Importe Recibo]],Tabla_Agua[[#This Row],[Importe Recibo]])</f>
        <v>1248.5999999999999</v>
      </c>
      <c r="E28" s="20">
        <f>ROUND(IMSUB(Tabla_Total_General[[#This Row],[Total Calculado]],Tabla_Total_General[[#This Row],[Total Recibos]]),2)</f>
        <v>-464.42</v>
      </c>
    </row>
  </sheetData>
  <mergeCells count="3">
    <mergeCell ref="A2:B2"/>
    <mergeCell ref="C2:E2"/>
    <mergeCell ref="A1:E1"/>
  </mergeCells>
  <conditionalFormatting sqref="E4:E28">
    <cfRule type="cellIs" dxfId="2" priority="4" operator="greaterThan">
      <formula>0</formula>
    </cfRule>
    <cfRule type="cellIs" dxfId="1" priority="5" operator="equal">
      <formula>0</formula>
    </cfRule>
    <cfRule type="cellIs" dxfId="0" priority="6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D7E72-5089-4A01-B96B-03B6BE90EDEE}">
  <sheetPr codeName="Hoja1"/>
  <dimension ref="A1:X28"/>
  <sheetViews>
    <sheetView zoomScaleNormal="100" workbookViewId="0">
      <selection activeCell="O28" sqref="O28"/>
    </sheetView>
  </sheetViews>
  <sheetFormatPr baseColWidth="10" defaultColWidth="13.140625" defaultRowHeight="15" x14ac:dyDescent="0.25"/>
  <cols>
    <col min="1" max="1" width="6.85546875" bestFit="1" customWidth="1"/>
    <col min="2" max="2" width="11" bestFit="1" customWidth="1"/>
    <col min="3" max="3" width="24.140625" bestFit="1" customWidth="1"/>
    <col min="4" max="4" width="26" bestFit="1" customWidth="1"/>
    <col min="5" max="5" width="19.85546875" bestFit="1" customWidth="1"/>
    <col min="6" max="6" width="16.85546875" bestFit="1" customWidth="1"/>
    <col min="7" max="7" width="18" bestFit="1" customWidth="1"/>
    <col min="8" max="8" width="15.7109375" bestFit="1" customWidth="1"/>
    <col min="9" max="9" width="14.42578125" bestFit="1" customWidth="1"/>
    <col min="10" max="10" width="21.28515625" bestFit="1" customWidth="1"/>
    <col min="11" max="11" width="6.85546875" bestFit="1" customWidth="1"/>
    <col min="12" max="12" width="11" bestFit="1" customWidth="1"/>
    <col min="13" max="13" width="24.140625" bestFit="1" customWidth="1"/>
    <col min="14" max="14" width="26" bestFit="1" customWidth="1"/>
    <col min="15" max="15" width="19.85546875" bestFit="1" customWidth="1"/>
    <col min="16" max="16" width="16.85546875" bestFit="1" customWidth="1"/>
    <col min="17" max="17" width="18" bestFit="1" customWidth="1"/>
    <col min="18" max="18" width="15.7109375" bestFit="1" customWidth="1"/>
    <col min="19" max="19" width="14.42578125" bestFit="1" customWidth="1"/>
    <col min="20" max="20" width="21.28515625" bestFit="1" customWidth="1"/>
    <col min="21" max="21" width="11" bestFit="1" customWidth="1"/>
    <col min="22" max="22" width="12.5703125" bestFit="1" customWidth="1"/>
    <col min="23" max="23" width="14.42578125" bestFit="1" customWidth="1"/>
    <col min="24" max="24" width="58.28515625" bestFit="1" customWidth="1"/>
  </cols>
  <sheetData>
    <row r="1" spans="1:24" ht="26.25" x14ac:dyDescent="0.4">
      <c r="A1" s="46" t="s">
        <v>10</v>
      </c>
      <c r="B1" s="47"/>
      <c r="C1" s="47"/>
      <c r="D1" s="47"/>
      <c r="E1" s="47"/>
      <c r="F1" s="47"/>
      <c r="G1" s="47"/>
      <c r="H1" s="47"/>
      <c r="I1" s="48"/>
      <c r="J1" s="9"/>
      <c r="K1" s="54" t="s">
        <v>12</v>
      </c>
      <c r="L1" s="55"/>
      <c r="M1" s="55"/>
      <c r="N1" s="55"/>
      <c r="O1" s="55"/>
      <c r="P1" s="55"/>
      <c r="Q1" s="55"/>
      <c r="R1" s="55"/>
      <c r="S1" s="56"/>
      <c r="U1" s="41" t="s">
        <v>25</v>
      </c>
      <c r="V1" s="42"/>
      <c r="W1" s="42"/>
      <c r="X1" s="42"/>
    </row>
    <row r="2" spans="1:24" x14ac:dyDescent="0.25">
      <c r="A2" s="52" t="s">
        <v>22</v>
      </c>
      <c r="B2" s="53"/>
      <c r="C2" s="49" t="s">
        <v>20</v>
      </c>
      <c r="D2" s="50"/>
      <c r="E2" s="51"/>
      <c r="F2" s="49" t="s">
        <v>19</v>
      </c>
      <c r="G2" s="50"/>
      <c r="H2" s="51"/>
      <c r="I2" s="6" t="s">
        <v>21</v>
      </c>
      <c r="J2" s="9"/>
      <c r="K2" s="57" t="s">
        <v>22</v>
      </c>
      <c r="L2" s="58"/>
      <c r="M2" s="59" t="s">
        <v>20</v>
      </c>
      <c r="N2" s="60"/>
      <c r="O2" s="61"/>
      <c r="P2" s="59" t="s">
        <v>19</v>
      </c>
      <c r="Q2" s="60"/>
      <c r="R2" s="61"/>
      <c r="S2" s="10" t="s">
        <v>21</v>
      </c>
      <c r="U2" s="43" t="s">
        <v>24</v>
      </c>
      <c r="V2" s="44"/>
      <c r="W2" s="44"/>
      <c r="X2" s="45"/>
    </row>
    <row r="3" spans="1:24" x14ac:dyDescent="0.25">
      <c r="A3" s="11" t="s">
        <v>23</v>
      </c>
      <c r="B3" s="11" t="s">
        <v>0</v>
      </c>
      <c r="C3" s="11" t="s">
        <v>14</v>
      </c>
      <c r="D3" s="11" t="s">
        <v>16</v>
      </c>
      <c r="E3" s="11" t="s">
        <v>15</v>
      </c>
      <c r="F3" s="12" t="s">
        <v>13</v>
      </c>
      <c r="G3" s="11" t="s">
        <v>17</v>
      </c>
      <c r="H3" s="13" t="s">
        <v>11</v>
      </c>
      <c r="I3" s="12" t="s">
        <v>18</v>
      </c>
      <c r="J3" s="15" t="s">
        <v>33</v>
      </c>
      <c r="K3" s="1" t="s">
        <v>23</v>
      </c>
      <c r="L3" s="1" t="s">
        <v>0</v>
      </c>
      <c r="M3" s="1" t="s">
        <v>14</v>
      </c>
      <c r="N3" s="1" t="s">
        <v>16</v>
      </c>
      <c r="O3" s="1" t="s">
        <v>15</v>
      </c>
      <c r="P3" s="1" t="s">
        <v>13</v>
      </c>
      <c r="Q3" s="1" t="s">
        <v>17</v>
      </c>
      <c r="R3" s="1" t="s">
        <v>11</v>
      </c>
      <c r="S3" s="1" t="s">
        <v>18</v>
      </c>
      <c r="T3" s="18" t="s">
        <v>33</v>
      </c>
      <c r="U3" s="14" t="s">
        <v>26</v>
      </c>
      <c r="V3" s="14" t="s">
        <v>27</v>
      </c>
      <c r="W3" s="14" t="s">
        <v>18</v>
      </c>
      <c r="X3" s="14" t="s">
        <v>28</v>
      </c>
    </row>
    <row r="4" spans="1:24" x14ac:dyDescent="0.25">
      <c r="A4" s="3">
        <v>2024</v>
      </c>
      <c r="B4" s="8" t="s">
        <v>1</v>
      </c>
      <c r="C4" s="1">
        <v>9845</v>
      </c>
      <c r="D4" s="1">
        <v>9785</v>
      </c>
      <c r="E4" s="4">
        <f>Tabla424[[#This Row],[Lectura Medidor Actual]]-Tabla424[[#This Row],[Lectura Medidor Anterior]]</f>
        <v>60</v>
      </c>
      <c r="F4" s="7">
        <f>Tabla_Luz[[#This Row],[Importe Recibo]]</f>
        <v>193</v>
      </c>
      <c r="G4" s="1">
        <f>Tabla_Luz[[#This Row],[Consumo Recibo]]</f>
        <v>215</v>
      </c>
      <c r="H4" s="5">
        <f>ROUND(Tabla424[[#This Row],[Importe Recibo]]/Tabla424[[#This Row],[Consumo Recibo]],2)</f>
        <v>0.9</v>
      </c>
      <c r="I4" s="2">
        <f>ROUND(Tabla424[[#This Row],[Consumo Medidor]]*Tabla424[[#This Row],[Valor Unitario]],2)</f>
        <v>54</v>
      </c>
      <c r="J4" s="16">
        <f>(Tabla424[[#This Row],[Total a Pagar]]/Tabla424[[#This Row],[Importe Recibo]])</f>
        <v>0.27979274611398963</v>
      </c>
      <c r="K4">
        <v>2024</v>
      </c>
      <c r="L4" s="8" t="s">
        <v>1</v>
      </c>
      <c r="M4" s="1">
        <v>428</v>
      </c>
      <c r="N4" s="1">
        <v>422</v>
      </c>
      <c r="O4" s="4">
        <f>Tabla4246[[#This Row],[Lectura Medidor Actual]]-Tabla4246[[#This Row],[Lectura Medidor Anterior]]</f>
        <v>6</v>
      </c>
      <c r="P4" s="7">
        <f>Tabla_Agua[[#This Row],[Importe Recibo]]</f>
        <v>379.2</v>
      </c>
      <c r="Q4" s="1">
        <f>Tabla_Agua[[#This Row],[Consumo Recibo]]</f>
        <v>41</v>
      </c>
      <c r="R4" s="5">
        <f>ROUND(Tabla4246[[#This Row],[Importe Recibo]]/Tabla4246[[#This Row],[Consumo Recibo]],2)</f>
        <v>9.25</v>
      </c>
      <c r="S4" s="2">
        <f>ROUND(Tabla4246[[#This Row],[Consumo Medidor]]*Tabla4246[[#This Row],[Valor Unitario]],2)</f>
        <v>55.5</v>
      </c>
      <c r="T4" s="17">
        <f>(Tabla4246[[#This Row],[Total a Pagar]]/Tabla4246[[#This Row],[Importe Recibo]])</f>
        <v>0.14636075949367089</v>
      </c>
      <c r="U4" s="2">
        <f>Tabla424[[#This Row],[Total a Pagar]]</f>
        <v>54</v>
      </c>
      <c r="V4" s="2">
        <f>Tabla4246[[#This Row],[Total a Pagar]]</f>
        <v>55.5</v>
      </c>
      <c r="W4" s="2">
        <f>ROUND(Tabla_Peluqueria[[#This Row],[Total Luz]]+Tabla_Peluqueria[[#This Row],[Total Agua]],2)</f>
        <v>109.5</v>
      </c>
      <c r="X4" s="14" t="s">
        <v>29</v>
      </c>
    </row>
    <row r="5" spans="1:24" x14ac:dyDescent="0.25">
      <c r="A5" s="3">
        <v>2024</v>
      </c>
      <c r="B5" s="8" t="s">
        <v>2</v>
      </c>
      <c r="C5" s="1">
        <v>9919</v>
      </c>
      <c r="D5" s="1">
        <v>9845</v>
      </c>
      <c r="E5" s="4">
        <f>Tabla424[[#This Row],[Lectura Medidor Actual]]-Tabla424[[#This Row],[Lectura Medidor Anterior]]</f>
        <v>74</v>
      </c>
      <c r="F5" s="7">
        <f>Tabla_Luz[[#This Row],[Importe Recibo]]</f>
        <v>259</v>
      </c>
      <c r="G5" s="1">
        <f>Tabla_Luz[[#This Row],[Consumo Recibo]]</f>
        <v>299</v>
      </c>
      <c r="H5" s="5">
        <f>ROUND(Tabla424[[#This Row],[Importe Recibo]]/Tabla424[[#This Row],[Consumo Recibo]],2)</f>
        <v>0.87</v>
      </c>
      <c r="I5" s="2">
        <f>ROUND(Tabla424[[#This Row],[Consumo Medidor]]*Tabla424[[#This Row],[Valor Unitario]],2)</f>
        <v>64.38</v>
      </c>
      <c r="J5" s="16">
        <f>(Tabla424[[#This Row],[Total a Pagar]]/Tabla424[[#This Row],[Importe Recibo]])</f>
        <v>0.24857142857142855</v>
      </c>
      <c r="K5">
        <v>2024</v>
      </c>
      <c r="L5" s="8" t="s">
        <v>2</v>
      </c>
      <c r="M5" s="1">
        <v>433</v>
      </c>
      <c r="N5" s="1">
        <v>428</v>
      </c>
      <c r="O5" s="4">
        <f>Tabla4246[[#This Row],[Lectura Medidor Actual]]-Tabla4246[[#This Row],[Lectura Medidor Anterior]]</f>
        <v>5</v>
      </c>
      <c r="P5" s="7">
        <f>Tabla_Agua[[#This Row],[Importe Recibo]]</f>
        <v>302.39999999999998</v>
      </c>
      <c r="Q5" s="1">
        <f>Tabla_Agua[[#This Row],[Consumo Recibo]]</f>
        <v>30</v>
      </c>
      <c r="R5" s="5">
        <f>ROUND(Tabla4246[[#This Row],[Importe Recibo]]/Tabla4246[[#This Row],[Consumo Recibo]],2)</f>
        <v>10.08</v>
      </c>
      <c r="S5" s="2">
        <f>ROUND(Tabla4246[[#This Row],[Consumo Medidor]]*Tabla4246[[#This Row],[Valor Unitario]],2)</f>
        <v>50.4</v>
      </c>
      <c r="T5" s="17">
        <f>(Tabla4246[[#This Row],[Total a Pagar]]/Tabla4246[[#This Row],[Importe Recibo]])</f>
        <v>0.16666666666666669</v>
      </c>
      <c r="U5" s="2">
        <f>Tabla424[[#This Row],[Total a Pagar]]</f>
        <v>64.38</v>
      </c>
      <c r="V5" s="2">
        <f>Tabla4246[[#This Row],[Total a Pagar]]</f>
        <v>50.4</v>
      </c>
      <c r="W5" s="2">
        <f>ROUND(Tabla_Peluqueria[[#This Row],[Total Luz]]+Tabla_Peluqueria[[#This Row],[Total Agua]],2)</f>
        <v>114.78</v>
      </c>
      <c r="X5" s="14" t="s">
        <v>29</v>
      </c>
    </row>
    <row r="6" spans="1:24" x14ac:dyDescent="0.25">
      <c r="A6">
        <v>2024</v>
      </c>
      <c r="B6" s="8" t="s">
        <v>3</v>
      </c>
      <c r="C6" s="1">
        <v>9984</v>
      </c>
      <c r="D6" s="1">
        <v>9919</v>
      </c>
      <c r="E6" s="4">
        <f>Tabla424[[#This Row],[Lectura Medidor Actual]]-Tabla424[[#This Row],[Lectura Medidor Anterior]]</f>
        <v>65</v>
      </c>
      <c r="F6" s="7">
        <f>Tabla_Luz[[#This Row],[Importe Recibo]]</f>
        <v>241</v>
      </c>
      <c r="G6" s="1">
        <f>Tabla_Luz[[#This Row],[Consumo Recibo]]</f>
        <v>282</v>
      </c>
      <c r="H6" s="5">
        <f>ROUND(Tabla424[[#This Row],[Importe Recibo]]/Tabla424[[#This Row],[Consumo Recibo]],2)</f>
        <v>0.85</v>
      </c>
      <c r="I6" s="2">
        <f>ROUND(Tabla424[[#This Row],[Consumo Medidor]]*Tabla424[[#This Row],[Valor Unitario]],2)</f>
        <v>55.25</v>
      </c>
      <c r="J6" s="17">
        <f>(Tabla424[[#This Row],[Total a Pagar]]/Tabla424[[#This Row],[Importe Recibo]])</f>
        <v>0.22925311203319501</v>
      </c>
      <c r="K6">
        <v>2024</v>
      </c>
      <c r="L6" s="8" t="s">
        <v>3</v>
      </c>
      <c r="M6" s="1">
        <v>438</v>
      </c>
      <c r="N6" s="1">
        <v>433</v>
      </c>
      <c r="O6" s="4">
        <f>Tabla4246[[#This Row],[Lectura Medidor Actual]]-Tabla4246[[#This Row],[Lectura Medidor Anterior]]</f>
        <v>5</v>
      </c>
      <c r="P6" s="7">
        <f>Tabla_Agua[[#This Row],[Importe Recibo]]</f>
        <v>340.8</v>
      </c>
      <c r="Q6" s="1">
        <f>Tabla_Agua[[#This Row],[Consumo Recibo]]</f>
        <v>34</v>
      </c>
      <c r="R6" s="5">
        <f>ROUND(Tabla4246[[#This Row],[Importe Recibo]]/Tabla4246[[#This Row],[Consumo Recibo]],2)</f>
        <v>10.02</v>
      </c>
      <c r="S6" s="2">
        <f>ROUND(Tabla4246[[#This Row],[Consumo Medidor]]*Tabla4246[[#This Row],[Valor Unitario]],2)</f>
        <v>50.1</v>
      </c>
      <c r="T6" s="17">
        <f>(Tabla4246[[#This Row],[Total a Pagar]]/Tabla4246[[#This Row],[Importe Recibo]])</f>
        <v>0.14700704225352113</v>
      </c>
      <c r="U6" s="2">
        <f>Tabla424[[#This Row],[Total a Pagar]]</f>
        <v>55.25</v>
      </c>
      <c r="V6" s="2">
        <f>Tabla4246[[#This Row],[Total a Pagar]]</f>
        <v>50.1</v>
      </c>
      <c r="W6" s="2">
        <f>ROUND(Tabla_Peluqueria[[#This Row],[Total Luz]]+Tabla_Peluqueria[[#This Row],[Total Agua]],2)</f>
        <v>105.35</v>
      </c>
      <c r="X6" s="14" t="s">
        <v>29</v>
      </c>
    </row>
    <row r="7" spans="1:24" x14ac:dyDescent="0.25">
      <c r="A7">
        <v>2024</v>
      </c>
      <c r="B7" s="8" t="s">
        <v>4</v>
      </c>
      <c r="C7" s="1">
        <v>10043</v>
      </c>
      <c r="D7" s="1">
        <v>9984</v>
      </c>
      <c r="E7" s="4">
        <f>Tabla424[[#This Row],[Lectura Medidor Actual]]-Tabla424[[#This Row],[Lectura Medidor Anterior]]</f>
        <v>59</v>
      </c>
      <c r="F7" s="7">
        <f>Tabla_Luz[[#This Row],[Importe Recibo]]</f>
        <v>337</v>
      </c>
      <c r="G7" s="1">
        <f>Tabla_Luz[[#This Row],[Consumo Recibo]]</f>
        <v>395</v>
      </c>
      <c r="H7" s="5">
        <f>ROUND(Tabla424[[#This Row],[Importe Recibo]]/Tabla424[[#This Row],[Consumo Recibo]],2)</f>
        <v>0.85</v>
      </c>
      <c r="I7" s="2">
        <f>ROUND(Tabla424[[#This Row],[Consumo Medidor]]*Tabla424[[#This Row],[Valor Unitario]],2)</f>
        <v>50.15</v>
      </c>
      <c r="J7" s="17">
        <f>(Tabla424[[#This Row],[Total a Pagar]]/Tabla424[[#This Row],[Importe Recibo]])</f>
        <v>0.14881305637982195</v>
      </c>
      <c r="K7">
        <v>2024</v>
      </c>
      <c r="L7" s="8" t="s">
        <v>4</v>
      </c>
      <c r="M7" s="1">
        <v>442</v>
      </c>
      <c r="N7" s="1">
        <v>438</v>
      </c>
      <c r="O7" s="4">
        <f>Tabla4246[[#This Row],[Lectura Medidor Actual]]-Tabla4246[[#This Row],[Lectura Medidor Anterior]]</f>
        <v>4</v>
      </c>
      <c r="P7" s="7">
        <f>Tabla_Agua[[#This Row],[Importe Recibo]]</f>
        <v>359.6</v>
      </c>
      <c r="Q7" s="1">
        <f>Tabla_Agua[[#This Row],[Consumo Recibo]]</f>
        <v>36</v>
      </c>
      <c r="R7" s="5">
        <f>ROUND(Tabla4246[[#This Row],[Importe Recibo]]/Tabla4246[[#This Row],[Consumo Recibo]],2)</f>
        <v>9.99</v>
      </c>
      <c r="S7" s="2">
        <f>ROUND(Tabla4246[[#This Row],[Consumo Medidor]]*Tabla4246[[#This Row],[Valor Unitario]],2)</f>
        <v>39.96</v>
      </c>
      <c r="T7" s="17">
        <f>(Tabla4246[[#This Row],[Total a Pagar]]/Tabla4246[[#This Row],[Importe Recibo]])</f>
        <v>0.11112347052280311</v>
      </c>
      <c r="U7" s="2">
        <f>Tabla424[[#This Row],[Total a Pagar]]</f>
        <v>50.15</v>
      </c>
      <c r="V7" s="2">
        <f>Tabla4246[[#This Row],[Total a Pagar]]</f>
        <v>39.96</v>
      </c>
      <c r="W7" s="2">
        <f>ROUND(Tabla_Peluqueria[[#This Row],[Total Luz]]+Tabla_Peluqueria[[#This Row],[Total Agua]],2)</f>
        <v>90.11</v>
      </c>
      <c r="X7" s="14" t="s">
        <v>29</v>
      </c>
    </row>
    <row r="8" spans="1:24" x14ac:dyDescent="0.25">
      <c r="A8">
        <v>2024</v>
      </c>
      <c r="B8" s="8" t="s">
        <v>5</v>
      </c>
      <c r="C8" s="1">
        <v>10110</v>
      </c>
      <c r="D8" s="1">
        <v>10043</v>
      </c>
      <c r="E8" s="4">
        <f>Tabla424[[#This Row],[Lectura Medidor Actual]]-Tabla424[[#This Row],[Lectura Medidor Anterior]]</f>
        <v>67</v>
      </c>
      <c r="F8" s="7">
        <f>Tabla_Luz[[#This Row],[Importe Recibo]]</f>
        <v>391</v>
      </c>
      <c r="G8" s="1">
        <f>Tabla_Luz[[#This Row],[Consumo Recibo]]</f>
        <v>462</v>
      </c>
      <c r="H8" s="5">
        <f>ROUND(Tabla424[[#This Row],[Importe Recibo]]/Tabla424[[#This Row],[Consumo Recibo]],2)</f>
        <v>0.85</v>
      </c>
      <c r="I8" s="2">
        <f>ROUND(Tabla424[[#This Row],[Consumo Medidor]]*Tabla424[[#This Row],[Valor Unitario]],2)</f>
        <v>56.95</v>
      </c>
      <c r="J8" s="17">
        <f>(Tabla424[[#This Row],[Total a Pagar]]/Tabla424[[#This Row],[Importe Recibo]])</f>
        <v>0.1456521739130435</v>
      </c>
      <c r="K8">
        <v>2024</v>
      </c>
      <c r="L8" s="8" t="s">
        <v>5</v>
      </c>
      <c r="M8" s="1">
        <v>448</v>
      </c>
      <c r="N8" s="1">
        <v>442</v>
      </c>
      <c r="O8" s="4">
        <f>Tabla4246[[#This Row],[Lectura Medidor Actual]]-Tabla4246[[#This Row],[Lectura Medidor Anterior]]</f>
        <v>6</v>
      </c>
      <c r="P8" s="7">
        <f>Tabla_Agua[[#This Row],[Importe Recibo]]</f>
        <v>439.3</v>
      </c>
      <c r="Q8" s="1">
        <f>Tabla_Agua[[#This Row],[Consumo Recibo]]</f>
        <v>44</v>
      </c>
      <c r="R8" s="5">
        <f>ROUND(Tabla4246[[#This Row],[Importe Recibo]]/Tabla4246[[#This Row],[Consumo Recibo]],2)</f>
        <v>9.98</v>
      </c>
      <c r="S8" s="2">
        <f>ROUND(Tabla4246[[#This Row],[Consumo Medidor]]*Tabla4246[[#This Row],[Valor Unitario]],2)</f>
        <v>59.88</v>
      </c>
      <c r="T8" s="17">
        <f>(Tabla4246[[#This Row],[Total a Pagar]]/Tabla4246[[#This Row],[Importe Recibo]])</f>
        <v>0.1363077623491919</v>
      </c>
      <c r="U8" s="2">
        <f>Tabla424[[#This Row],[Total a Pagar]]</f>
        <v>56.95</v>
      </c>
      <c r="V8" s="2">
        <f>Tabla4246[[#This Row],[Total a Pagar]]</f>
        <v>59.88</v>
      </c>
      <c r="W8" s="2">
        <f>ROUND(Tabla_Peluqueria[[#This Row],[Total Luz]]+Tabla_Peluqueria[[#This Row],[Total Agua]],2)</f>
        <v>116.83</v>
      </c>
      <c r="X8" s="14" t="s">
        <v>29</v>
      </c>
    </row>
    <row r="9" spans="1:24" x14ac:dyDescent="0.25">
      <c r="A9">
        <v>2024</v>
      </c>
      <c r="B9" s="8" t="s">
        <v>6</v>
      </c>
      <c r="C9" s="1">
        <v>10153</v>
      </c>
      <c r="D9" s="1">
        <v>10110</v>
      </c>
      <c r="E9" s="4">
        <f>Tabla424[[#This Row],[Lectura Medidor Actual]]-Tabla424[[#This Row],[Lectura Medidor Anterior]]</f>
        <v>43</v>
      </c>
      <c r="F9" s="7">
        <f>Tabla_Luz[[#This Row],[Importe Recibo]]</f>
        <v>404.91</v>
      </c>
      <c r="G9" s="1">
        <f>Tabla_Luz[[#This Row],[Consumo Recibo]]</f>
        <v>485</v>
      </c>
      <c r="H9" s="5">
        <f>ROUND(Tabla424[[#This Row],[Importe Recibo]]/Tabla424[[#This Row],[Consumo Recibo]],2)</f>
        <v>0.83</v>
      </c>
      <c r="I9" s="2">
        <f>ROUND(Tabla424[[#This Row],[Consumo Medidor]]*Tabla424[[#This Row],[Valor Unitario]],2)</f>
        <v>35.69</v>
      </c>
      <c r="J9" s="17">
        <f>(Tabla424[[#This Row],[Total a Pagar]]/Tabla424[[#This Row],[Importe Recibo]])</f>
        <v>8.8143044133264167E-2</v>
      </c>
      <c r="K9">
        <v>2024</v>
      </c>
      <c r="L9" s="8" t="s">
        <v>6</v>
      </c>
      <c r="M9" s="1">
        <v>452</v>
      </c>
      <c r="N9" s="1">
        <v>448</v>
      </c>
      <c r="O9" s="4">
        <f>Tabla4246[[#This Row],[Lectura Medidor Actual]]-Tabla4246[[#This Row],[Lectura Medidor Anterior]]</f>
        <v>4</v>
      </c>
      <c r="P9" s="7">
        <f>Tabla_Agua[[#This Row],[Importe Recibo]]</f>
        <v>794.3</v>
      </c>
      <c r="Q9" s="1">
        <f>Tabla_Agua[[#This Row],[Consumo Recibo]]</f>
        <v>79</v>
      </c>
      <c r="R9" s="5">
        <f>ROUND(Tabla4246[[#This Row],[Importe Recibo]]/Tabla4246[[#This Row],[Consumo Recibo]],2)</f>
        <v>10.050000000000001</v>
      </c>
      <c r="S9" s="2">
        <f>ROUND(Tabla4246[[#This Row],[Consumo Medidor]]*Tabla4246[[#This Row],[Valor Unitario]],2)</f>
        <v>40.200000000000003</v>
      </c>
      <c r="T9" s="17">
        <f>(Tabla4246[[#This Row],[Total a Pagar]]/Tabla4246[[#This Row],[Importe Recibo]])</f>
        <v>5.0610600528767473E-2</v>
      </c>
      <c r="U9" s="2">
        <f>Tabla424[[#This Row],[Total a Pagar]]</f>
        <v>35.69</v>
      </c>
      <c r="V9" s="2">
        <f>Tabla4246[[#This Row],[Total a Pagar]]</f>
        <v>40.200000000000003</v>
      </c>
      <c r="W9" s="2">
        <f>ROUND(Tabla_Peluqueria[[#This Row],[Total Luz]]+Tabla_Peluqueria[[#This Row],[Total Agua]],2)</f>
        <v>75.89</v>
      </c>
      <c r="X9" s="14" t="s">
        <v>29</v>
      </c>
    </row>
    <row r="10" spans="1:24" x14ac:dyDescent="0.25">
      <c r="A10">
        <v>2024</v>
      </c>
      <c r="B10" s="8" t="s">
        <v>7</v>
      </c>
      <c r="C10" s="1">
        <v>10207</v>
      </c>
      <c r="D10" s="1">
        <v>10153</v>
      </c>
      <c r="E10" s="4">
        <f>Tabla424[[#This Row],[Lectura Medidor Actual]]-Tabla424[[#This Row],[Lectura Medidor Anterior]]</f>
        <v>54</v>
      </c>
      <c r="F10" s="7">
        <f>Tabla_Luz[[#This Row],[Importe Recibo]]</f>
        <v>456.14</v>
      </c>
      <c r="G10" s="1">
        <f>Tabla_Luz[[#This Row],[Consumo Recibo]]</f>
        <v>510</v>
      </c>
      <c r="H10" s="5">
        <f>ROUND(Tabla424[[#This Row],[Importe Recibo]]/Tabla424[[#This Row],[Consumo Recibo]],2)</f>
        <v>0.89</v>
      </c>
      <c r="I10" s="2">
        <f>ROUND(Tabla424[[#This Row],[Consumo Medidor]]*Tabla424[[#This Row],[Valor Unitario]],2)</f>
        <v>48.06</v>
      </c>
      <c r="J10" s="17">
        <f>(Tabla424[[#This Row],[Total a Pagar]]/Tabla424[[#This Row],[Importe Recibo]])</f>
        <v>0.10536238874029905</v>
      </c>
      <c r="K10">
        <v>2024</v>
      </c>
      <c r="L10" s="8" t="s">
        <v>7</v>
      </c>
      <c r="M10" s="1">
        <v>456</v>
      </c>
      <c r="N10" s="1">
        <v>452</v>
      </c>
      <c r="O10" s="4">
        <f>Tabla4246[[#This Row],[Lectura Medidor Actual]]-Tabla4246[[#This Row],[Lectura Medidor Anterior]]</f>
        <v>4</v>
      </c>
      <c r="P10" s="7">
        <f>Tabla_Agua[[#This Row],[Importe Recibo]]</f>
        <v>453.8</v>
      </c>
      <c r="Q10" s="1">
        <f>Tabla_Agua[[#This Row],[Consumo Recibo]]</f>
        <v>53</v>
      </c>
      <c r="R10" s="5">
        <f>ROUND(Tabla4246[[#This Row],[Importe Recibo]]/Tabla4246[[#This Row],[Consumo Recibo]],2)</f>
        <v>8.56</v>
      </c>
      <c r="S10" s="2">
        <f>ROUND(Tabla4246[[#This Row],[Consumo Medidor]]*Tabla4246[[#This Row],[Valor Unitario]],2)</f>
        <v>34.24</v>
      </c>
      <c r="T10" s="17">
        <f>(Tabla4246[[#This Row],[Total a Pagar]]/Tabla4246[[#This Row],[Importe Recibo]])</f>
        <v>7.5451740855002211E-2</v>
      </c>
      <c r="U10" s="2">
        <f>Tabla424[[#This Row],[Total a Pagar]]</f>
        <v>48.06</v>
      </c>
      <c r="V10" s="2">
        <f>Tabla4246[[#This Row],[Total a Pagar]]</f>
        <v>34.24</v>
      </c>
      <c r="W10" s="2">
        <f>ROUND(Tabla_Peluqueria[[#This Row],[Total Luz]]+Tabla_Peluqueria[[#This Row],[Total Agua]],2)</f>
        <v>82.3</v>
      </c>
      <c r="X10" s="14" t="s">
        <v>29</v>
      </c>
    </row>
    <row r="11" spans="1:24" x14ac:dyDescent="0.25">
      <c r="A11">
        <v>2024</v>
      </c>
      <c r="B11" s="8" t="s">
        <v>8</v>
      </c>
      <c r="C11" s="1">
        <v>10254</v>
      </c>
      <c r="D11" s="1">
        <v>10207</v>
      </c>
      <c r="E11" s="4">
        <f>Tabla424[[#This Row],[Lectura Medidor Actual]]-Tabla424[[#This Row],[Lectura Medidor Anterior]]</f>
        <v>47</v>
      </c>
      <c r="F11" s="7">
        <f>Tabla_Luz[[#This Row],[Importe Recibo]]</f>
        <v>501.5</v>
      </c>
      <c r="G11" s="1">
        <f>Tabla_Luz[[#This Row],[Consumo Recibo]]</f>
        <v>560</v>
      </c>
      <c r="H11" s="5">
        <f>ROUND(Tabla424[[#This Row],[Importe Recibo]]/Tabla424[[#This Row],[Consumo Recibo]],2)</f>
        <v>0.9</v>
      </c>
      <c r="I11" s="2">
        <f>ROUND(Tabla424[[#This Row],[Consumo Medidor]]*Tabla424[[#This Row],[Valor Unitario]],2)</f>
        <v>42.3</v>
      </c>
      <c r="J11" s="17">
        <f>(Tabla424[[#This Row],[Total a Pagar]]/Tabla424[[#This Row],[Importe Recibo]])</f>
        <v>8.4346959122632098E-2</v>
      </c>
      <c r="K11">
        <v>2024</v>
      </c>
      <c r="L11" s="8" t="s">
        <v>8</v>
      </c>
      <c r="M11" s="1">
        <v>459</v>
      </c>
      <c r="N11" s="1">
        <v>456</v>
      </c>
      <c r="O11" s="4">
        <f>Tabla4246[[#This Row],[Lectura Medidor Actual]]-Tabla4246[[#This Row],[Lectura Medidor Anterior]]</f>
        <v>3</v>
      </c>
      <c r="P11" s="7">
        <f>Tabla_Agua[[#This Row],[Importe Recibo]]</f>
        <v>424.2</v>
      </c>
      <c r="Q11" s="1">
        <f>Tabla_Agua[[#This Row],[Consumo Recibo]]</f>
        <v>50</v>
      </c>
      <c r="R11" s="5">
        <f>ROUND(Tabla4246[[#This Row],[Importe Recibo]]/Tabla4246[[#This Row],[Consumo Recibo]],2)</f>
        <v>8.48</v>
      </c>
      <c r="S11" s="2">
        <f>ROUND(Tabla4246[[#This Row],[Consumo Medidor]]*Tabla4246[[#This Row],[Valor Unitario]],2)</f>
        <v>25.44</v>
      </c>
      <c r="T11" s="17">
        <f>(Tabla4246[[#This Row],[Total a Pagar]]/Tabla4246[[#This Row],[Importe Recibo]])</f>
        <v>5.9971711456859977E-2</v>
      </c>
      <c r="U11" s="2">
        <f>Tabla424[[#This Row],[Total a Pagar]]</f>
        <v>42.3</v>
      </c>
      <c r="V11" s="2">
        <f>Tabla4246[[#This Row],[Total a Pagar]]</f>
        <v>25.44</v>
      </c>
      <c r="W11" s="2">
        <f>ROUND(Tabla_Peluqueria[[#This Row],[Total Luz]]+Tabla_Peluqueria[[#This Row],[Total Agua]],2)</f>
        <v>67.739999999999995</v>
      </c>
      <c r="X11" s="14" t="s">
        <v>29</v>
      </c>
    </row>
    <row r="12" spans="1:24" x14ac:dyDescent="0.25">
      <c r="A12">
        <v>2024</v>
      </c>
      <c r="B12" s="8" t="s">
        <v>9</v>
      </c>
      <c r="C12" s="1">
        <v>10305</v>
      </c>
      <c r="D12" s="1">
        <v>10254</v>
      </c>
      <c r="E12" s="4">
        <f>Tabla424[[#This Row],[Lectura Medidor Actual]]-Tabla424[[#This Row],[Lectura Medidor Anterior]]</f>
        <v>51</v>
      </c>
      <c r="F12" s="7">
        <f>Tabla_Luz[[#This Row],[Importe Recibo]]</f>
        <v>512</v>
      </c>
      <c r="G12" s="1">
        <f>Tabla_Luz[[#This Row],[Consumo Recibo]]</f>
        <v>577</v>
      </c>
      <c r="H12" s="5">
        <f>ROUND(Tabla424[[#This Row],[Importe Recibo]]/Tabla424[[#This Row],[Consumo Recibo]],2)</f>
        <v>0.89</v>
      </c>
      <c r="I12" s="2">
        <f>ROUND(Tabla424[[#This Row],[Consumo Medidor]]*Tabla424[[#This Row],[Valor Unitario]],2)</f>
        <v>45.39</v>
      </c>
      <c r="J12" s="17">
        <f>(Tabla424[[#This Row],[Total a Pagar]]/Tabla424[[#This Row],[Importe Recibo]])</f>
        <v>8.8652343750000001E-2</v>
      </c>
      <c r="K12">
        <v>2024</v>
      </c>
      <c r="L12" s="8" t="s">
        <v>9</v>
      </c>
      <c r="M12" s="1">
        <v>463</v>
      </c>
      <c r="N12" s="1">
        <v>459</v>
      </c>
      <c r="O12" s="4">
        <f>Tabla4246[[#This Row],[Lectura Medidor Actual]]-Tabla4246[[#This Row],[Lectura Medidor Anterior]]</f>
        <v>4</v>
      </c>
      <c r="P12" s="7">
        <f>Tabla_Agua[[#This Row],[Importe Recibo]]</f>
        <v>455.7</v>
      </c>
      <c r="Q12" s="1">
        <f>Tabla_Agua[[#This Row],[Consumo Recibo]]</f>
        <v>54</v>
      </c>
      <c r="R12" s="5">
        <f>ROUND(Tabla4246[[#This Row],[Importe Recibo]]/Tabla4246[[#This Row],[Consumo Recibo]],2)</f>
        <v>8.44</v>
      </c>
      <c r="S12" s="2">
        <f>ROUND(Tabla4246[[#This Row],[Consumo Medidor]]*Tabla4246[[#This Row],[Valor Unitario]],2)</f>
        <v>33.76</v>
      </c>
      <c r="T12" s="17">
        <f>(Tabla4246[[#This Row],[Total a Pagar]]/Tabla4246[[#This Row],[Importe Recibo]])</f>
        <v>7.4083827079218775E-2</v>
      </c>
      <c r="U12" s="2">
        <f>Tabla424[[#This Row],[Total a Pagar]]</f>
        <v>45.39</v>
      </c>
      <c r="V12" s="2">
        <f>Tabla4246[[#This Row],[Total a Pagar]]</f>
        <v>33.76</v>
      </c>
      <c r="W12" s="2">
        <f>ROUND(Tabla_Peluqueria[[#This Row],[Total Luz]]+Tabla_Peluqueria[[#This Row],[Total Agua]],2)</f>
        <v>79.150000000000006</v>
      </c>
      <c r="X12" s="14" t="s">
        <v>31</v>
      </c>
    </row>
    <row r="13" spans="1:24" x14ac:dyDescent="0.25">
      <c r="A13">
        <v>2024</v>
      </c>
      <c r="B13" s="8" t="s">
        <v>32</v>
      </c>
      <c r="C13" s="1">
        <v>10350</v>
      </c>
      <c r="D13" s="1">
        <v>10305</v>
      </c>
      <c r="E13" s="4">
        <f>Tabla424[[#This Row],[Lectura Medidor Actual]]-Tabla424[[#This Row],[Lectura Medidor Anterior]]</f>
        <v>45</v>
      </c>
      <c r="F13" s="7">
        <f>Tabla_Luz[[#This Row],[Importe Recibo]]</f>
        <v>421.5</v>
      </c>
      <c r="G13" s="1">
        <f>Tabla_Luz[[#This Row],[Consumo Recibo]]</f>
        <v>493</v>
      </c>
      <c r="H13" s="5">
        <f>ROUND(Tabla424[[#This Row],[Importe Recibo]]/Tabla424[[#This Row],[Consumo Recibo]],2)</f>
        <v>0.85</v>
      </c>
      <c r="I13" s="2">
        <f>ROUND(Tabla424[[#This Row],[Consumo Medidor]]*Tabla424[[#This Row],[Valor Unitario]],2)</f>
        <v>38.25</v>
      </c>
      <c r="J13" s="17">
        <f>(Tabla424[[#This Row],[Total a Pagar]]/Tabla424[[#This Row],[Importe Recibo]])</f>
        <v>9.0747330960854092E-2</v>
      </c>
      <c r="K13">
        <v>2024</v>
      </c>
      <c r="L13" s="8" t="s">
        <v>32</v>
      </c>
      <c r="M13" s="1">
        <v>467</v>
      </c>
      <c r="N13" s="1">
        <v>463</v>
      </c>
      <c r="O13" s="4">
        <f>Tabla4246[[#This Row],[Lectura Medidor Actual]]-Tabla4246[[#This Row],[Lectura Medidor Anterior]]</f>
        <v>4</v>
      </c>
      <c r="P13" s="7">
        <f>Tabla_Agua[[#This Row],[Importe Recibo]]</f>
        <v>441.1</v>
      </c>
      <c r="Q13" s="1">
        <f>Tabla_Agua[[#This Row],[Consumo Recibo]]</f>
        <v>52</v>
      </c>
      <c r="R13" s="5">
        <f>ROUND(Tabla4246[[#This Row],[Importe Recibo]]/Tabla4246[[#This Row],[Consumo Recibo]],2)</f>
        <v>8.48</v>
      </c>
      <c r="S13" s="2">
        <f>ROUND(Tabla4246[[#This Row],[Consumo Medidor]]*Tabla4246[[#This Row],[Valor Unitario]],2)</f>
        <v>33.92</v>
      </c>
      <c r="T13" s="17">
        <f>(Tabla4246[[#This Row],[Total a Pagar]]/Tabla4246[[#This Row],[Importe Recibo]])</f>
        <v>7.6898662434822032E-2</v>
      </c>
      <c r="U13" s="2">
        <f>Tabla424[[#This Row],[Total a Pagar]]</f>
        <v>38.25</v>
      </c>
      <c r="V13" s="2">
        <f>Tabla4246[[#This Row],[Total a Pagar]]</f>
        <v>33.92</v>
      </c>
      <c r="W13" s="2">
        <f>ROUND(Tabla_Peluqueria[[#This Row],[Total Luz]]+Tabla_Peluqueria[[#This Row],[Total Agua]],2)</f>
        <v>72.17</v>
      </c>
      <c r="X13" s="14"/>
    </row>
    <row r="14" spans="1:24" x14ac:dyDescent="0.25">
      <c r="A14">
        <v>2024</v>
      </c>
      <c r="B14" s="8" t="s">
        <v>34</v>
      </c>
      <c r="C14" s="1">
        <v>10402</v>
      </c>
      <c r="D14" s="1">
        <v>10350</v>
      </c>
      <c r="E14" s="4">
        <f>Tabla424[[#This Row],[Lectura Medidor Actual]]-Tabla424[[#This Row],[Lectura Medidor Anterior]]</f>
        <v>52</v>
      </c>
      <c r="F14" s="7">
        <f>Tabla_Luz[[#This Row],[Importe Recibo]]</f>
        <v>384</v>
      </c>
      <c r="G14" s="1">
        <f>Tabla_Luz[[#This Row],[Consumo Recibo]]</f>
        <v>449</v>
      </c>
      <c r="H14" s="5">
        <f>ROUND(Tabla424[[#This Row],[Importe Recibo]]/Tabla424[[#This Row],[Consumo Recibo]],2)</f>
        <v>0.86</v>
      </c>
      <c r="I14" s="2">
        <f>ROUND(Tabla424[[#This Row],[Consumo Medidor]]*Tabla424[[#This Row],[Valor Unitario]],2)</f>
        <v>44.72</v>
      </c>
      <c r="J14" s="17">
        <f>(Tabla424[[#This Row],[Total a Pagar]]/Tabla424[[#This Row],[Importe Recibo]])</f>
        <v>0.11645833333333333</v>
      </c>
      <c r="K14">
        <v>2024</v>
      </c>
      <c r="L14" s="8" t="s">
        <v>34</v>
      </c>
      <c r="M14" s="1">
        <v>471</v>
      </c>
      <c r="N14" s="1">
        <v>467</v>
      </c>
      <c r="O14" s="4">
        <f>Tabla4246[[#This Row],[Lectura Medidor Actual]]-Tabla4246[[#This Row],[Lectura Medidor Anterior]]</f>
        <v>4</v>
      </c>
      <c r="P14" s="7">
        <f>Tabla_Agua[[#This Row],[Importe Recibo]]</f>
        <v>616.4</v>
      </c>
      <c r="Q14" s="1">
        <f>Tabla_Agua[[#This Row],[Consumo Recibo]]</f>
        <v>73</v>
      </c>
      <c r="R14" s="5">
        <f>ROUND(Tabla4246[[#This Row],[Importe Recibo]]/Tabla4246[[#This Row],[Consumo Recibo]],2)</f>
        <v>8.44</v>
      </c>
      <c r="S14" s="2">
        <f>ROUND(Tabla4246[[#This Row],[Consumo Medidor]]*Tabla4246[[#This Row],[Valor Unitario]],2)</f>
        <v>33.76</v>
      </c>
      <c r="T14" s="17">
        <f>(Tabla4246[[#This Row],[Total a Pagar]]/Tabla4246[[#This Row],[Importe Recibo]])</f>
        <v>5.4769630110317977E-2</v>
      </c>
      <c r="U14" s="2">
        <f>Tabla424[[#This Row],[Total a Pagar]]</f>
        <v>44.72</v>
      </c>
      <c r="V14" s="2">
        <f>Tabla4246[[#This Row],[Total a Pagar]]</f>
        <v>33.76</v>
      </c>
      <c r="W14" s="2">
        <f>ROUND(Tabla_Peluqueria[[#This Row],[Total Luz]]+Tabla_Peluqueria[[#This Row],[Total Agua]],2)</f>
        <v>78.48</v>
      </c>
      <c r="X14" s="14"/>
    </row>
    <row r="15" spans="1:24" x14ac:dyDescent="0.25">
      <c r="A15">
        <v>2024</v>
      </c>
      <c r="B15" s="8" t="s">
        <v>35</v>
      </c>
      <c r="C15" s="1">
        <v>10452</v>
      </c>
      <c r="D15" s="1">
        <v>10402</v>
      </c>
      <c r="E15" s="4">
        <f>Tabla424[[#This Row],[Lectura Medidor Actual]]-Tabla424[[#This Row],[Lectura Medidor Anterior]]</f>
        <v>50</v>
      </c>
      <c r="F15" s="7">
        <f>Tabla_Luz[[#This Row],[Importe Recibo]]</f>
        <v>384</v>
      </c>
      <c r="G15" s="1">
        <f>Tabla_Luz[[#This Row],[Consumo Recibo]]</f>
        <v>448</v>
      </c>
      <c r="H15" s="5">
        <f>ROUND(Tabla424[[#This Row],[Importe Recibo]]/Tabla424[[#This Row],[Consumo Recibo]],2)</f>
        <v>0.86</v>
      </c>
      <c r="I15" s="2">
        <f>ROUND(Tabla424[[#This Row],[Consumo Medidor]]*Tabla424[[#This Row],[Valor Unitario]],2)</f>
        <v>43</v>
      </c>
      <c r="J15" s="17">
        <f>(Tabla424[[#This Row],[Total a Pagar]]/Tabla424[[#This Row],[Importe Recibo]])</f>
        <v>0.11197916666666667</v>
      </c>
      <c r="K15">
        <v>2024</v>
      </c>
      <c r="L15" s="8" t="s">
        <v>35</v>
      </c>
      <c r="M15" s="1">
        <v>474</v>
      </c>
      <c r="N15" s="1">
        <v>471</v>
      </c>
      <c r="O15" s="4">
        <f>Tabla4246[[#This Row],[Lectura Medidor Actual]]-Tabla4246[[#This Row],[Lectura Medidor Anterior]]</f>
        <v>3</v>
      </c>
      <c r="P15" s="7">
        <f>Tabla_Agua[[#This Row],[Importe Recibo]]</f>
        <v>618.6</v>
      </c>
      <c r="Q15" s="1">
        <f>Tabla_Agua[[#This Row],[Consumo Recibo]]</f>
        <v>73</v>
      </c>
      <c r="R15" s="5">
        <f>ROUND(Tabla4246[[#This Row],[Importe Recibo]]/Tabla4246[[#This Row],[Consumo Recibo]],2)</f>
        <v>8.4700000000000006</v>
      </c>
      <c r="S15" s="2">
        <f>ROUND(Tabla4246[[#This Row],[Consumo Medidor]]*Tabla4246[[#This Row],[Valor Unitario]],2)</f>
        <v>25.41</v>
      </c>
      <c r="T15" s="17">
        <f>(Tabla4246[[#This Row],[Total a Pagar]]/Tabla4246[[#This Row],[Importe Recibo]])</f>
        <v>4.1076624636275462E-2</v>
      </c>
      <c r="U15" s="2">
        <f>Tabla424[[#This Row],[Total a Pagar]]</f>
        <v>43</v>
      </c>
      <c r="V15" s="2">
        <f>Tabla4246[[#This Row],[Total a Pagar]]</f>
        <v>25.41</v>
      </c>
      <c r="W15" s="2">
        <f>ROUND(Tabla_Peluqueria[[#This Row],[Total Luz]]+Tabla_Peluqueria[[#This Row],[Total Agua]],2)</f>
        <v>68.41</v>
      </c>
      <c r="X15" s="14"/>
    </row>
    <row r="16" spans="1:24" x14ac:dyDescent="0.25">
      <c r="A16">
        <v>2025</v>
      </c>
      <c r="B16" s="8" t="s">
        <v>1</v>
      </c>
      <c r="C16" s="1">
        <v>10513</v>
      </c>
      <c r="D16" s="1">
        <v>10452</v>
      </c>
      <c r="E16" s="4">
        <f>Tabla424[[#This Row],[Lectura Medidor Actual]]-Tabla424[[#This Row],[Lectura Medidor Anterior]]</f>
        <v>61</v>
      </c>
      <c r="F16" s="7">
        <f>Tabla_Luz[[#This Row],[Importe Recibo]]</f>
        <v>473</v>
      </c>
      <c r="G16" s="1">
        <f>Tabla_Luz[[#This Row],[Consumo Recibo]]</f>
        <v>532</v>
      </c>
      <c r="H16" s="5">
        <f>ROUND(Tabla424[[#This Row],[Importe Recibo]]/Tabla424[[#This Row],[Consumo Recibo]],2)</f>
        <v>0.89</v>
      </c>
      <c r="I16" s="2">
        <f>ROUND(Tabla424[[#This Row],[Consumo Medidor]]*Tabla424[[#This Row],[Valor Unitario]],2)</f>
        <v>54.29</v>
      </c>
      <c r="J16" s="17">
        <f>(Tabla424[[#This Row],[Total a Pagar]]/Tabla424[[#This Row],[Importe Recibo]])</f>
        <v>0.11477801268498942</v>
      </c>
      <c r="K16">
        <v>2025</v>
      </c>
      <c r="L16" s="8" t="s">
        <v>1</v>
      </c>
      <c r="M16" s="1">
        <v>478</v>
      </c>
      <c r="N16" s="1">
        <v>474</v>
      </c>
      <c r="O16" s="4">
        <f>Tabla4246[[#This Row],[Lectura Medidor Actual]]-Tabla4246[[#This Row],[Lectura Medidor Anterior]]</f>
        <v>4</v>
      </c>
      <c r="P16" s="7">
        <f>Tabla_Agua[[#This Row],[Importe Recibo]]</f>
        <v>808.1</v>
      </c>
      <c r="Q16" s="1">
        <f>Tabla_Agua[[#This Row],[Consumo Recibo]]</f>
        <v>95</v>
      </c>
      <c r="R16" s="5">
        <f>ROUND(Tabla4246[[#This Row],[Importe Recibo]]/Tabla4246[[#This Row],[Consumo Recibo]],2)</f>
        <v>8.51</v>
      </c>
      <c r="S16" s="2">
        <f>ROUND(Tabla4246[[#This Row],[Consumo Medidor]]*Tabla4246[[#This Row],[Valor Unitario]],2)</f>
        <v>34.04</v>
      </c>
      <c r="T16" s="17">
        <f>(Tabla4246[[#This Row],[Total a Pagar]]/Tabla4246[[#This Row],[Importe Recibo]])</f>
        <v>4.2123499566885284E-2</v>
      </c>
      <c r="U16" s="2">
        <f>Tabla424[[#This Row],[Total a Pagar]]</f>
        <v>54.29</v>
      </c>
      <c r="V16" s="2">
        <f>Tabla4246[[#This Row],[Total a Pagar]]</f>
        <v>34.04</v>
      </c>
      <c r="W16" s="2">
        <f>ROUND(Tabla_Peluqueria[[#This Row],[Total Luz]]+Tabla_Peluqueria[[#This Row],[Total Agua]],2)</f>
        <v>88.33</v>
      </c>
      <c r="X16" s="14"/>
    </row>
    <row r="17" spans="1:24" x14ac:dyDescent="0.25">
      <c r="A17">
        <v>2025</v>
      </c>
      <c r="B17" s="8" t="s">
        <v>2</v>
      </c>
      <c r="C17" s="1">
        <v>10570</v>
      </c>
      <c r="D17" s="1">
        <v>10513</v>
      </c>
      <c r="E17" s="4">
        <f>Tabla424[[#This Row],[Lectura Medidor Actual]]-Tabla424[[#This Row],[Lectura Medidor Anterior]]</f>
        <v>57</v>
      </c>
      <c r="F17" s="7">
        <f>Tabla_Luz[[#This Row],[Importe Recibo]]</f>
        <v>410</v>
      </c>
      <c r="G17" s="1">
        <f>Tabla_Luz[[#This Row],[Consumo Recibo]]</f>
        <v>479</v>
      </c>
      <c r="H17" s="5">
        <f>ROUND(Tabla424[[#This Row],[Importe Recibo]]/Tabla424[[#This Row],[Consumo Recibo]],2)</f>
        <v>0.86</v>
      </c>
      <c r="I17" s="2">
        <f>ROUND(Tabla424[[#This Row],[Consumo Medidor]]*Tabla424[[#This Row],[Valor Unitario]],2)</f>
        <v>49.02</v>
      </c>
      <c r="J17" s="17">
        <f>(Tabla424[[#This Row],[Total a Pagar]]/Tabla424[[#This Row],[Importe Recibo]])</f>
        <v>0.11956097560975611</v>
      </c>
      <c r="K17">
        <v>2025</v>
      </c>
      <c r="L17" s="8" t="s">
        <v>2</v>
      </c>
      <c r="M17" s="1">
        <v>482</v>
      </c>
      <c r="N17" s="1">
        <v>478</v>
      </c>
      <c r="O17" s="4">
        <f>Tabla4246[[#This Row],[Lectura Medidor Actual]]-Tabla4246[[#This Row],[Lectura Medidor Anterior]]</f>
        <v>4</v>
      </c>
      <c r="P17" s="7">
        <f>Tabla_Agua[[#This Row],[Importe Recibo]]</f>
        <v>646.29999999999995</v>
      </c>
      <c r="Q17" s="1">
        <f>Tabla_Agua[[#This Row],[Consumo Recibo]]</f>
        <v>76</v>
      </c>
      <c r="R17" s="5">
        <f>ROUND(Tabla4246[[#This Row],[Importe Recibo]]/Tabla4246[[#This Row],[Consumo Recibo]],2)</f>
        <v>8.5</v>
      </c>
      <c r="S17" s="2">
        <f>ROUND(Tabla4246[[#This Row],[Consumo Medidor]]*Tabla4246[[#This Row],[Valor Unitario]],2)</f>
        <v>34</v>
      </c>
      <c r="T17" s="17">
        <f>(Tabla4246[[#This Row],[Total a Pagar]]/Tabla4246[[#This Row],[Importe Recibo]])</f>
        <v>5.2607148383103826E-2</v>
      </c>
      <c r="U17" s="2">
        <f>Tabla424[[#This Row],[Total a Pagar]]</f>
        <v>49.02</v>
      </c>
      <c r="V17" s="2">
        <f>Tabla4246[[#This Row],[Total a Pagar]]</f>
        <v>34</v>
      </c>
      <c r="W17" s="2">
        <f>ROUND(Tabla_Peluqueria[[#This Row],[Total Luz]]+Tabla_Peluqueria[[#This Row],[Total Agua]],2)</f>
        <v>83.02</v>
      </c>
      <c r="X17" s="14"/>
    </row>
    <row r="18" spans="1:24" x14ac:dyDescent="0.25">
      <c r="A18">
        <v>2025</v>
      </c>
      <c r="B18" s="8" t="s">
        <v>3</v>
      </c>
      <c r="C18" s="1">
        <v>10624</v>
      </c>
      <c r="D18" s="1">
        <v>10570</v>
      </c>
      <c r="E18" s="4">
        <f>Tabla424[[#This Row],[Lectura Medidor Actual]]-Tabla424[[#This Row],[Lectura Medidor Anterior]]</f>
        <v>54</v>
      </c>
      <c r="F18" s="7">
        <f>Tabla_Luz[[#This Row],[Importe Recibo]]</f>
        <v>380.5</v>
      </c>
      <c r="G18" s="1">
        <f>Tabla_Luz[[#This Row],[Consumo Recibo]]</f>
        <v>449</v>
      </c>
      <c r="H18" s="5">
        <f>ROUND(Tabla424[[#This Row],[Importe Recibo]]/Tabla424[[#This Row],[Consumo Recibo]],2)</f>
        <v>0.85</v>
      </c>
      <c r="I18" s="2">
        <f>ROUND(Tabla424[[#This Row],[Consumo Medidor]]*Tabla424[[#This Row],[Valor Unitario]],2)</f>
        <v>45.9</v>
      </c>
      <c r="J18" s="17">
        <f>(Tabla424[[#This Row],[Total a Pagar]]/Tabla424[[#This Row],[Importe Recibo]])</f>
        <v>0.12063074901445466</v>
      </c>
      <c r="K18">
        <v>2025</v>
      </c>
      <c r="L18" s="8" t="s">
        <v>3</v>
      </c>
      <c r="M18" s="1">
        <v>486</v>
      </c>
      <c r="N18" s="1">
        <v>482</v>
      </c>
      <c r="O18" s="4">
        <f>Tabla4246[[#This Row],[Lectura Medidor Actual]]-Tabla4246[[#This Row],[Lectura Medidor Anterior]]</f>
        <v>4</v>
      </c>
      <c r="P18" s="7">
        <f>Tabla_Agua[[#This Row],[Importe Recibo]]</f>
        <v>663.3</v>
      </c>
      <c r="Q18" s="1">
        <f>Tabla_Agua[[#This Row],[Consumo Recibo]]</f>
        <v>79</v>
      </c>
      <c r="R18" s="5">
        <f>ROUND(Tabla4246[[#This Row],[Importe Recibo]]/Tabla4246[[#This Row],[Consumo Recibo]],2)</f>
        <v>8.4</v>
      </c>
      <c r="S18" s="2">
        <f>ROUND(Tabla4246[[#This Row],[Consumo Medidor]]*Tabla4246[[#This Row],[Valor Unitario]],2)</f>
        <v>33.6</v>
      </c>
      <c r="T18" s="17">
        <f>(Tabla4246[[#This Row],[Total a Pagar]]/Tabla4246[[#This Row],[Importe Recibo]])</f>
        <v>5.0655811849841706E-2</v>
      </c>
      <c r="U18" s="2">
        <f>Tabla424[[#This Row],[Total a Pagar]]</f>
        <v>45.9</v>
      </c>
      <c r="V18" s="2">
        <f>Tabla4246[[#This Row],[Total a Pagar]]</f>
        <v>33.6</v>
      </c>
      <c r="W18" s="2">
        <f>ROUND(Tabla_Peluqueria[[#This Row],[Total Luz]]+Tabla_Peluqueria[[#This Row],[Total Agua]],2)</f>
        <v>79.5</v>
      </c>
      <c r="X18" s="14"/>
    </row>
    <row r="19" spans="1:24" x14ac:dyDescent="0.25">
      <c r="A19">
        <v>2025</v>
      </c>
      <c r="B19" s="8" t="s">
        <v>4</v>
      </c>
      <c r="C19" s="1">
        <v>10678</v>
      </c>
      <c r="D19" s="1">
        <v>10624</v>
      </c>
      <c r="E19" s="4">
        <f>Tabla424[[#This Row],[Lectura Medidor Actual]]-Tabla424[[#This Row],[Lectura Medidor Anterior]]</f>
        <v>54</v>
      </c>
      <c r="F19" s="7">
        <f>Tabla_Luz[[#This Row],[Importe Recibo]]</f>
        <v>411</v>
      </c>
      <c r="G19" s="1">
        <f>Tabla_Luz[[#This Row],[Consumo Recibo]]</f>
        <v>490</v>
      </c>
      <c r="H19" s="5">
        <f>ROUND(Tabla424[[#This Row],[Importe Recibo]]/Tabla424[[#This Row],[Consumo Recibo]],2)</f>
        <v>0.84</v>
      </c>
      <c r="I19" s="2">
        <f>ROUND(Tabla424[[#This Row],[Consumo Medidor]]*Tabla424[[#This Row],[Valor Unitario]],2)</f>
        <v>45.36</v>
      </c>
      <c r="J19" s="17">
        <f>(Tabla424[[#This Row],[Total a Pagar]]/Tabla424[[#This Row],[Importe Recibo]])</f>
        <v>0.11036496350364963</v>
      </c>
      <c r="K19">
        <v>2025</v>
      </c>
      <c r="L19" s="8" t="s">
        <v>4</v>
      </c>
      <c r="M19" s="1">
        <v>490</v>
      </c>
      <c r="N19" s="1">
        <v>486</v>
      </c>
      <c r="O19" s="4">
        <f>Tabla4246[[#This Row],[Lectura Medidor Actual]]-Tabla4246[[#This Row],[Lectura Medidor Anterior]]</f>
        <v>4</v>
      </c>
      <c r="P19" s="7">
        <f>Tabla_Agua[[#This Row],[Importe Recibo]]</f>
        <v>576</v>
      </c>
      <c r="Q19" s="1">
        <f>Tabla_Agua[[#This Row],[Consumo Recibo]]</f>
        <v>68</v>
      </c>
      <c r="R19" s="5">
        <f>ROUND(Tabla4246[[#This Row],[Importe Recibo]]/Tabla4246[[#This Row],[Consumo Recibo]],2)</f>
        <v>8.4700000000000006</v>
      </c>
      <c r="S19" s="2">
        <f>ROUND(Tabla4246[[#This Row],[Consumo Medidor]]*Tabla4246[[#This Row],[Valor Unitario]],2)</f>
        <v>33.880000000000003</v>
      </c>
      <c r="T19" s="17">
        <f>(Tabla4246[[#This Row],[Total a Pagar]]/Tabla4246[[#This Row],[Importe Recibo]])</f>
        <v>5.8819444444444452E-2</v>
      </c>
      <c r="U19" s="2">
        <f>Tabla424[[#This Row],[Total a Pagar]]</f>
        <v>45.36</v>
      </c>
      <c r="V19" s="2">
        <f>Tabla4246[[#This Row],[Total a Pagar]]</f>
        <v>33.880000000000003</v>
      </c>
      <c r="W19" s="2">
        <f>ROUND(Tabla_Peluqueria[[#This Row],[Total Luz]]+Tabla_Peluqueria[[#This Row],[Total Agua]],2)</f>
        <v>79.239999999999995</v>
      </c>
      <c r="X19" s="14"/>
    </row>
    <row r="20" spans="1:24" x14ac:dyDescent="0.25">
      <c r="A20">
        <v>2025</v>
      </c>
      <c r="B20" s="8" t="s">
        <v>5</v>
      </c>
      <c r="C20" s="1">
        <v>10734</v>
      </c>
      <c r="D20" s="1">
        <v>10678</v>
      </c>
      <c r="E20" s="4">
        <f>Tabla424[[#This Row],[Lectura Medidor Actual]]-Tabla424[[#This Row],[Lectura Medidor Anterior]]</f>
        <v>56</v>
      </c>
      <c r="F20" s="7">
        <f>Tabla_Luz[[#This Row],[Importe Recibo]]</f>
        <v>411.59</v>
      </c>
      <c r="G20" s="1">
        <f>Tabla_Luz[[#This Row],[Consumo Recibo]]</f>
        <v>493</v>
      </c>
      <c r="H20" s="5">
        <f>ROUND(Tabla424[[#This Row],[Importe Recibo]]/Tabla424[[#This Row],[Consumo Recibo]],2)</f>
        <v>0.83</v>
      </c>
      <c r="I20" s="2">
        <f>ROUND(Tabla424[[#This Row],[Consumo Medidor]]*Tabla424[[#This Row],[Valor Unitario]],2)</f>
        <v>46.48</v>
      </c>
      <c r="J20" s="17">
        <f>(Tabla424[[#This Row],[Total a Pagar]]/Tabla424[[#This Row],[Importe Recibo]])</f>
        <v>0.11292791370052722</v>
      </c>
      <c r="K20">
        <v>2025</v>
      </c>
      <c r="L20" s="8" t="s">
        <v>5</v>
      </c>
      <c r="M20" s="1">
        <v>493</v>
      </c>
      <c r="N20" s="1">
        <v>490</v>
      </c>
      <c r="O20" s="4">
        <f>Tabla4246[[#This Row],[Lectura Medidor Actual]]-Tabla4246[[#This Row],[Lectura Medidor Anterior]]</f>
        <v>3</v>
      </c>
      <c r="P20" s="7">
        <f>Tabla_Agua[[#This Row],[Importe Recibo]]</f>
        <v>609.20000000000005</v>
      </c>
      <c r="Q20" s="1">
        <f>Tabla_Agua[[#This Row],[Consumo Recibo]]</f>
        <v>72</v>
      </c>
      <c r="R20" s="5">
        <f>ROUND(Tabla4246[[#This Row],[Importe Recibo]]/Tabla4246[[#This Row],[Consumo Recibo]],2)</f>
        <v>8.4600000000000009</v>
      </c>
      <c r="S20" s="2">
        <f>ROUND(Tabla4246[[#This Row],[Consumo Medidor]]*Tabla4246[[#This Row],[Valor Unitario]],2)</f>
        <v>25.38</v>
      </c>
      <c r="T20" s="17">
        <f>(Tabla4246[[#This Row],[Total a Pagar]]/Tabla4246[[#This Row],[Importe Recibo]])</f>
        <v>4.1661195009848981E-2</v>
      </c>
      <c r="U20" s="2">
        <f>Tabla424[[#This Row],[Total a Pagar]]</f>
        <v>46.48</v>
      </c>
      <c r="V20" s="2">
        <f>Tabla4246[[#This Row],[Total a Pagar]]</f>
        <v>25.38</v>
      </c>
      <c r="W20" s="2">
        <f>ROUND(Tabla_Peluqueria[[#This Row],[Total Luz]]+Tabla_Peluqueria[[#This Row],[Total Agua]],2)</f>
        <v>71.86</v>
      </c>
      <c r="X20" s="14"/>
    </row>
    <row r="21" spans="1:24" x14ac:dyDescent="0.25">
      <c r="A21">
        <v>2025</v>
      </c>
      <c r="B21" s="8" t="s">
        <v>6</v>
      </c>
      <c r="C21" s="1">
        <v>10777</v>
      </c>
      <c r="D21" s="1">
        <v>10734</v>
      </c>
      <c r="E21" s="4">
        <f>Tabla424[[#This Row],[Lectura Medidor Actual]]-Tabla424[[#This Row],[Lectura Medidor Anterior]]</f>
        <v>43</v>
      </c>
      <c r="F21" s="7">
        <f>Tabla_Luz[[#This Row],[Importe Recibo]]</f>
        <v>479.41</v>
      </c>
      <c r="G21" s="1">
        <f>Tabla_Luz[[#This Row],[Consumo Recibo]]</f>
        <v>553</v>
      </c>
      <c r="H21" s="5">
        <f>ROUND(Tabla424[[#This Row],[Importe Recibo]]/Tabla424[[#This Row],[Consumo Recibo]],2)</f>
        <v>0.87</v>
      </c>
      <c r="I21" s="2">
        <f>ROUND(Tabla424[[#This Row],[Consumo Medidor]]*Tabla424[[#This Row],[Valor Unitario]],2)</f>
        <v>37.409999999999997</v>
      </c>
      <c r="J21" s="17">
        <f>(Tabla424[[#This Row],[Total a Pagar]]/Tabla424[[#This Row],[Importe Recibo]])</f>
        <v>7.8033416073924181E-2</v>
      </c>
      <c r="K21">
        <v>2025</v>
      </c>
      <c r="L21" s="8" t="s">
        <v>6</v>
      </c>
      <c r="M21" s="1">
        <v>496</v>
      </c>
      <c r="N21" s="1">
        <v>493</v>
      </c>
      <c r="O21" s="4">
        <f>Tabla4246[[#This Row],[Lectura Medidor Actual]]-Tabla4246[[#This Row],[Lectura Medidor Anterior]]</f>
        <v>3</v>
      </c>
      <c r="P21" s="7">
        <f>Tabla_Agua[[#This Row],[Importe Recibo]]</f>
        <v>732.5</v>
      </c>
      <c r="Q21" s="1">
        <f>Tabla_Agua[[#This Row],[Consumo Recibo]]</f>
        <v>86</v>
      </c>
      <c r="R21" s="5">
        <f>ROUND(Tabla4246[[#This Row],[Importe Recibo]]/Tabla4246[[#This Row],[Consumo Recibo]],2)</f>
        <v>8.52</v>
      </c>
      <c r="S21" s="2">
        <f>ROUND(Tabla4246[[#This Row],[Consumo Medidor]]*Tabla4246[[#This Row],[Valor Unitario]],2)</f>
        <v>25.56</v>
      </c>
      <c r="T21" s="17">
        <f>(Tabla4246[[#This Row],[Total a Pagar]]/Tabla4246[[#This Row],[Importe Recibo]])</f>
        <v>3.4894197952218431E-2</v>
      </c>
      <c r="U21" s="2">
        <f>Tabla424[[#This Row],[Total a Pagar]]</f>
        <v>37.409999999999997</v>
      </c>
      <c r="V21" s="2">
        <f>Tabla4246[[#This Row],[Total a Pagar]]</f>
        <v>25.56</v>
      </c>
      <c r="W21" s="2">
        <f>ROUND(Tabla_Peluqueria[[#This Row],[Total Luz]]+Tabla_Peluqueria[[#This Row],[Total Agua]],2)</f>
        <v>62.97</v>
      </c>
      <c r="X21" s="14"/>
    </row>
    <row r="22" spans="1:24" x14ac:dyDescent="0.25">
      <c r="A22">
        <v>2025</v>
      </c>
      <c r="B22" s="8" t="s">
        <v>7</v>
      </c>
      <c r="C22" s="1">
        <v>10832</v>
      </c>
      <c r="D22" s="1">
        <v>10777</v>
      </c>
      <c r="E22" s="4">
        <f>Tabla424[[#This Row],[Lectura Medidor Actual]]-Tabla424[[#This Row],[Lectura Medidor Anterior]]</f>
        <v>55</v>
      </c>
      <c r="F22" s="7">
        <f>Tabla_Luz[[#This Row],[Importe Recibo]]</f>
        <v>538.86</v>
      </c>
      <c r="G22" s="1">
        <f>Tabla_Luz[[#This Row],[Consumo Recibo]]</f>
        <v>632</v>
      </c>
      <c r="H22" s="5">
        <f>ROUND(Tabla424[[#This Row],[Importe Recibo]]/Tabla424[[#This Row],[Consumo Recibo]],2)</f>
        <v>0.85</v>
      </c>
      <c r="I22" s="2">
        <f>ROUND(Tabla424[[#This Row],[Consumo Medidor]]*Tabla424[[#This Row],[Valor Unitario]],2)</f>
        <v>46.75</v>
      </c>
      <c r="J22" s="17">
        <f>(Tabla424[[#This Row],[Total a Pagar]]/Tabla424[[#This Row],[Importe Recibo]])</f>
        <v>8.6757228222543892E-2</v>
      </c>
      <c r="K22">
        <v>2025</v>
      </c>
      <c r="L22" s="8" t="s">
        <v>7</v>
      </c>
      <c r="M22" s="1">
        <v>500</v>
      </c>
      <c r="N22" s="1">
        <v>496</v>
      </c>
      <c r="O22" s="4">
        <f>Tabla4246[[#This Row],[Lectura Medidor Actual]]-Tabla4246[[#This Row],[Lectura Medidor Anterior]]</f>
        <v>4</v>
      </c>
      <c r="P22" s="7">
        <f>Tabla_Agua[[#This Row],[Importe Recibo]]</f>
        <v>903.6</v>
      </c>
      <c r="Q22" s="1">
        <f>Tabla_Agua[[#This Row],[Consumo Recibo]]</f>
        <v>105</v>
      </c>
      <c r="R22" s="5">
        <f>ROUND(Tabla4246[[#This Row],[Importe Recibo]]/Tabla4246[[#This Row],[Consumo Recibo]],2)</f>
        <v>8.61</v>
      </c>
      <c r="S22" s="2">
        <f>ROUND(Tabla4246[[#This Row],[Consumo Medidor]]*Tabla4246[[#This Row],[Valor Unitario]],2)</f>
        <v>34.44</v>
      </c>
      <c r="T22" s="17">
        <f>(Tabla4246[[#This Row],[Total a Pagar]]/Tabla4246[[#This Row],[Importe Recibo]])</f>
        <v>3.8114209827357234E-2</v>
      </c>
      <c r="U22" s="2">
        <f>Tabla424[[#This Row],[Total a Pagar]]</f>
        <v>46.75</v>
      </c>
      <c r="V22" s="2">
        <f>Tabla4246[[#This Row],[Total a Pagar]]</f>
        <v>34.44</v>
      </c>
      <c r="W22" s="2">
        <f>ROUND(Tabla_Peluqueria[[#This Row],[Total Luz]]+Tabla_Peluqueria[[#This Row],[Total Agua]],2)</f>
        <v>81.19</v>
      </c>
      <c r="X22" s="14"/>
    </row>
    <row r="23" spans="1:24" x14ac:dyDescent="0.25">
      <c r="A23">
        <v>2025</v>
      </c>
      <c r="B23" s="8" t="s">
        <v>8</v>
      </c>
      <c r="C23" s="1">
        <v>10884</v>
      </c>
      <c r="D23" s="1">
        <v>10832</v>
      </c>
      <c r="E23" s="4">
        <f>Tabla424[[#This Row],[Lectura Medidor Actual]]-Tabla424[[#This Row],[Lectura Medidor Anterior]]</f>
        <v>52</v>
      </c>
      <c r="F23" s="7">
        <f>Tabla_Luz[[#This Row],[Importe Recibo]]</f>
        <v>614.91</v>
      </c>
      <c r="G23" s="1">
        <f>Tabla_Luz[[#This Row],[Consumo Recibo]]</f>
        <v>714</v>
      </c>
      <c r="H23" s="5">
        <f>ROUND(Tabla424[[#This Row],[Importe Recibo]]/Tabla424[[#This Row],[Consumo Recibo]],2)</f>
        <v>0.86</v>
      </c>
      <c r="I23" s="2">
        <f>ROUND(Tabla424[[#This Row],[Consumo Medidor]]*Tabla424[[#This Row],[Valor Unitario]],2)</f>
        <v>44.72</v>
      </c>
      <c r="J23" s="17">
        <f>(Tabla424[[#This Row],[Total a Pagar]]/Tabla424[[#This Row],[Importe Recibo]])</f>
        <v>7.2726089996910118E-2</v>
      </c>
      <c r="K23">
        <v>2025</v>
      </c>
      <c r="L23" s="8" t="s">
        <v>8</v>
      </c>
      <c r="M23" s="1">
        <v>503</v>
      </c>
      <c r="N23" s="1">
        <v>500</v>
      </c>
      <c r="O23" s="4">
        <f>Tabla4246[[#This Row],[Lectura Medidor Actual]]-Tabla4246[[#This Row],[Lectura Medidor Anterior]]</f>
        <v>3</v>
      </c>
      <c r="P23" s="7">
        <f>Tabla_Agua[[#This Row],[Importe Recibo]]</f>
        <v>551.6</v>
      </c>
      <c r="Q23" s="1">
        <f>Tabla_Agua[[#This Row],[Consumo Recibo]]</f>
        <v>65</v>
      </c>
      <c r="R23" s="5">
        <f>ROUND(Tabla4246[[#This Row],[Importe Recibo]]/Tabla4246[[#This Row],[Consumo Recibo]],2)</f>
        <v>8.49</v>
      </c>
      <c r="S23" s="2">
        <f>ROUND(Tabla4246[[#This Row],[Consumo Medidor]]*Tabla4246[[#This Row],[Valor Unitario]],2)</f>
        <v>25.47</v>
      </c>
      <c r="T23" s="17">
        <f>(Tabla4246[[#This Row],[Total a Pagar]]/Tabla4246[[#This Row],[Importe Recibo]])</f>
        <v>4.6174764321972442E-2</v>
      </c>
      <c r="U23" s="2">
        <f>Tabla424[[#This Row],[Total a Pagar]]</f>
        <v>44.72</v>
      </c>
      <c r="V23" s="2">
        <f>Tabla4246[[#This Row],[Total a Pagar]]</f>
        <v>25.47</v>
      </c>
      <c r="W23" s="2">
        <f>ROUND(Tabla_Peluqueria[[#This Row],[Total Luz]]+Tabla_Peluqueria[[#This Row],[Total Agua]],2)</f>
        <v>70.19</v>
      </c>
      <c r="X23" s="14"/>
    </row>
    <row r="24" spans="1:24" x14ac:dyDescent="0.25">
      <c r="A24">
        <v>2025</v>
      </c>
      <c r="B24" s="8" t="s">
        <v>9</v>
      </c>
      <c r="C24" s="1">
        <v>10935</v>
      </c>
      <c r="D24" s="1">
        <v>10884</v>
      </c>
      <c r="E24" s="4">
        <f>Tabla424[[#This Row],[Lectura Medidor Actual]]-Tabla424[[#This Row],[Lectura Medidor Anterior]]</f>
        <v>51</v>
      </c>
      <c r="F24" s="7">
        <f>Tabla_Luz[[#This Row],[Importe Recibo]]</f>
        <v>549</v>
      </c>
      <c r="G24" s="1">
        <f>Tabla_Luz[[#This Row],[Consumo Recibo]]</f>
        <v>650</v>
      </c>
      <c r="H24" s="5">
        <f>ROUND(Tabla424[[#This Row],[Importe Recibo]]/Tabla424[[#This Row],[Consumo Recibo]],2)</f>
        <v>0.84</v>
      </c>
      <c r="I24" s="2">
        <f>ROUND(Tabla424[[#This Row],[Consumo Medidor]]*Tabla424[[#This Row],[Valor Unitario]],2)</f>
        <v>42.84</v>
      </c>
      <c r="J24" s="17">
        <f>(Tabla424[[#This Row],[Total a Pagar]]/Tabla424[[#This Row],[Importe Recibo]])</f>
        <v>7.8032786885245911E-2</v>
      </c>
      <c r="K24">
        <v>2025</v>
      </c>
      <c r="L24" s="8" t="s">
        <v>9</v>
      </c>
      <c r="M24" s="1">
        <v>507</v>
      </c>
      <c r="N24" s="1">
        <v>503</v>
      </c>
      <c r="O24" s="4">
        <f>Tabla4246[[#This Row],[Lectura Medidor Actual]]-Tabla4246[[#This Row],[Lectura Medidor Anterior]]</f>
        <v>4</v>
      </c>
      <c r="P24" s="7">
        <f>Tabla_Agua[[#This Row],[Importe Recibo]]</f>
        <v>1136.9000000000001</v>
      </c>
      <c r="Q24" s="1">
        <f>Tabla_Agua[[#This Row],[Consumo Recibo]]</f>
        <v>130</v>
      </c>
      <c r="R24" s="5">
        <f>ROUND(Tabla4246[[#This Row],[Importe Recibo]]/Tabla4246[[#This Row],[Consumo Recibo]],2)</f>
        <v>8.75</v>
      </c>
      <c r="S24" s="2">
        <f>ROUND(Tabla4246[[#This Row],[Consumo Medidor]]*Tabla4246[[#This Row],[Valor Unitario]],2)</f>
        <v>35</v>
      </c>
      <c r="T24" s="17">
        <f>(Tabla4246[[#This Row],[Total a Pagar]]/Tabla4246[[#This Row],[Importe Recibo]])</f>
        <v>3.078546925850998E-2</v>
      </c>
      <c r="U24" s="2">
        <f>Tabla424[[#This Row],[Total a Pagar]]</f>
        <v>42.84</v>
      </c>
      <c r="V24" s="2">
        <f>Tabla4246[[#This Row],[Total a Pagar]]</f>
        <v>35</v>
      </c>
      <c r="W24" s="2">
        <f>ROUND(Tabla_Peluqueria[[#This Row],[Total Luz]]+Tabla_Peluqueria[[#This Row],[Total Agua]],2)</f>
        <v>77.84</v>
      </c>
      <c r="X24" s="14"/>
    </row>
    <row r="25" spans="1:24" x14ac:dyDescent="0.25">
      <c r="A25">
        <v>2025</v>
      </c>
      <c r="B25" s="8" t="s">
        <v>32</v>
      </c>
      <c r="C25" s="1">
        <v>10984</v>
      </c>
      <c r="D25" s="1">
        <v>10935</v>
      </c>
      <c r="E25" s="4">
        <f>Tabla424[[#This Row],[Lectura Medidor Actual]]-Tabla424[[#This Row],[Lectura Medidor Anterior]]</f>
        <v>49</v>
      </c>
      <c r="F25" s="7">
        <f>Tabla_Luz[[#This Row],[Importe Recibo]]</f>
        <v>500</v>
      </c>
      <c r="G25" s="1">
        <f>Tabla_Luz[[#This Row],[Consumo Recibo]]</f>
        <v>595</v>
      </c>
      <c r="H25" s="5">
        <f>ROUND(Tabla424[[#This Row],[Importe Recibo]]/Tabla424[[#This Row],[Consumo Recibo]],2)</f>
        <v>0.84</v>
      </c>
      <c r="I25" s="2">
        <f>ROUND(Tabla424[[#This Row],[Consumo Medidor]]*Tabla424[[#This Row],[Valor Unitario]],2)</f>
        <v>41.16</v>
      </c>
      <c r="J25" s="17">
        <f>(Tabla424[[#This Row],[Total a Pagar]]/Tabla424[[#This Row],[Importe Recibo]])</f>
        <v>8.231999999999999E-2</v>
      </c>
      <c r="K25">
        <v>2025</v>
      </c>
      <c r="L25" s="8" t="s">
        <v>32</v>
      </c>
      <c r="M25" s="1">
        <v>511</v>
      </c>
      <c r="N25" s="1">
        <v>507</v>
      </c>
      <c r="O25" s="4">
        <f>Tabla4246[[#This Row],[Lectura Medidor Actual]]-Tabla4246[[#This Row],[Lectura Medidor Anterior]]</f>
        <v>4</v>
      </c>
      <c r="P25" s="7">
        <f>Tabla_Agua[[#This Row],[Importe Recibo]]</f>
        <v>715.3</v>
      </c>
      <c r="Q25" s="1">
        <f>Tabla_Agua[[#This Row],[Consumo Recibo]]</f>
        <v>84</v>
      </c>
      <c r="R25" s="5">
        <f>ROUND(Tabla4246[[#This Row],[Importe Recibo]]/Tabla4246[[#This Row],[Consumo Recibo]],2)</f>
        <v>8.52</v>
      </c>
      <c r="S25" s="2">
        <f>ROUND(Tabla4246[[#This Row],[Consumo Medidor]]*Tabla4246[[#This Row],[Valor Unitario]],2)</f>
        <v>34.08</v>
      </c>
      <c r="T25" s="17">
        <f>(Tabla4246[[#This Row],[Total a Pagar]]/Tabla4246[[#This Row],[Importe Recibo]])</f>
        <v>4.7644345030057322E-2</v>
      </c>
      <c r="U25" s="2">
        <f>Tabla424[[#This Row],[Total a Pagar]]</f>
        <v>41.16</v>
      </c>
      <c r="V25" s="2">
        <f>Tabla4246[[#This Row],[Total a Pagar]]</f>
        <v>34.08</v>
      </c>
      <c r="W25" s="2">
        <f>ROUND(Tabla_Peluqueria[[#This Row],[Total Luz]]+Tabla_Peluqueria[[#This Row],[Total Agua]],2)</f>
        <v>75.239999999999995</v>
      </c>
      <c r="X25" s="14"/>
    </row>
    <row r="26" spans="1:24" x14ac:dyDescent="0.25">
      <c r="A26">
        <v>2025</v>
      </c>
      <c r="B26" s="8" t="s">
        <v>34</v>
      </c>
      <c r="C26" s="1">
        <v>11026</v>
      </c>
      <c r="D26" s="1">
        <v>10984</v>
      </c>
      <c r="E26" s="4">
        <f>Tabla424[[#This Row],[Lectura Medidor Actual]]-Tabla424[[#This Row],[Lectura Medidor Anterior]]</f>
        <v>42</v>
      </c>
      <c r="F26" s="7">
        <f>Tabla_Luz[[#This Row],[Importe Recibo]]</f>
        <v>449.5</v>
      </c>
      <c r="G26" s="1">
        <f>Tabla_Luz[[#This Row],[Consumo Recibo]]</f>
        <v>542</v>
      </c>
      <c r="H26" s="5">
        <f>ROUND(Tabla424[[#This Row],[Importe Recibo]]/Tabla424[[#This Row],[Consumo Recibo]],2)</f>
        <v>0.83</v>
      </c>
      <c r="I26" s="2">
        <f>ROUND(Tabla424[[#This Row],[Consumo Medidor]]*Tabla424[[#This Row],[Valor Unitario]],2)</f>
        <v>34.86</v>
      </c>
      <c r="J26" s="17">
        <f>(Tabla424[[#This Row],[Total a Pagar]]/Tabla424[[#This Row],[Importe Recibo]])</f>
        <v>7.7552836484983317E-2</v>
      </c>
      <c r="K26">
        <v>2025</v>
      </c>
      <c r="L26" s="8" t="s">
        <v>34</v>
      </c>
      <c r="M26" s="1">
        <v>515</v>
      </c>
      <c r="N26" s="1">
        <v>511</v>
      </c>
      <c r="O26" s="4">
        <f>Tabla4246[[#This Row],[Lectura Medidor Actual]]-Tabla4246[[#This Row],[Lectura Medidor Anterior]]</f>
        <v>4</v>
      </c>
      <c r="P26" s="7">
        <f>Tabla_Agua[[#This Row],[Importe Recibo]]</f>
        <v>981</v>
      </c>
      <c r="Q26" s="1">
        <f>Tabla_Agua[[#This Row],[Consumo Recibo]]</f>
        <v>114</v>
      </c>
      <c r="R26" s="5">
        <f>ROUND(Tabla4246[[#This Row],[Importe Recibo]]/Tabla4246[[#This Row],[Consumo Recibo]],2)</f>
        <v>8.61</v>
      </c>
      <c r="S26" s="2">
        <f>ROUND(Tabla4246[[#This Row],[Consumo Medidor]]*Tabla4246[[#This Row],[Valor Unitario]],2)</f>
        <v>34.44</v>
      </c>
      <c r="T26" s="17">
        <f>(Tabla4246[[#This Row],[Total a Pagar]]/Tabla4246[[#This Row],[Importe Recibo]])</f>
        <v>3.5107033639143727E-2</v>
      </c>
      <c r="U26" s="2">
        <f>Tabla424[[#This Row],[Total a Pagar]]</f>
        <v>34.86</v>
      </c>
      <c r="V26" s="2">
        <f>Tabla4246[[#This Row],[Total a Pagar]]</f>
        <v>34.44</v>
      </c>
      <c r="W26" s="2">
        <f>ROUND(Tabla_Peluqueria[[#This Row],[Total Luz]]+Tabla_Peluqueria[[#This Row],[Total Agua]],2)</f>
        <v>69.3</v>
      </c>
      <c r="X26" s="14"/>
    </row>
    <row r="27" spans="1:24" x14ac:dyDescent="0.25">
      <c r="A27">
        <v>2025</v>
      </c>
      <c r="B27" s="8" t="s">
        <v>35</v>
      </c>
      <c r="C27" s="1">
        <v>11095</v>
      </c>
      <c r="D27" s="1">
        <v>11026</v>
      </c>
      <c r="E27" s="4">
        <f>Tabla424[[#This Row],[Lectura Medidor Actual]]-Tabla424[[#This Row],[Lectura Medidor Anterior]]</f>
        <v>69</v>
      </c>
      <c r="F27" s="7">
        <f>Tabla_Luz[[#This Row],[Importe Recibo]]</f>
        <v>414</v>
      </c>
      <c r="G27" s="1">
        <f>Tabla_Luz[[#This Row],[Consumo Recibo]]</f>
        <v>513</v>
      </c>
      <c r="H27" s="5">
        <f>ROUND(Tabla424[[#This Row],[Importe Recibo]]/Tabla424[[#This Row],[Consumo Recibo]],2)</f>
        <v>0.81</v>
      </c>
      <c r="I27" s="2">
        <f>ROUND(Tabla424[[#This Row],[Consumo Medidor]]*Tabla424[[#This Row],[Valor Unitario]],2)</f>
        <v>55.89</v>
      </c>
      <c r="J27" s="17">
        <f>(Tabla424[[#This Row],[Total a Pagar]]/Tabla424[[#This Row],[Importe Recibo]])</f>
        <v>0.13500000000000001</v>
      </c>
      <c r="K27">
        <v>2025</v>
      </c>
      <c r="L27" s="8" t="s">
        <v>35</v>
      </c>
      <c r="M27" s="1">
        <v>519</v>
      </c>
      <c r="N27" s="1">
        <v>515</v>
      </c>
      <c r="O27" s="4">
        <f>Tabla4246[[#This Row],[Lectura Medidor Actual]]-Tabla4246[[#This Row],[Lectura Medidor Anterior]]</f>
        <v>4</v>
      </c>
      <c r="P27" s="7">
        <f>Tabla_Agua[[#This Row],[Importe Recibo]]</f>
        <v>745.1</v>
      </c>
      <c r="Q27" s="1">
        <f>Tabla_Agua[[#This Row],[Consumo Recibo]]</f>
        <v>88</v>
      </c>
      <c r="R27" s="5">
        <f>ROUND(Tabla4246[[#This Row],[Importe Recibo]]/Tabla4246[[#This Row],[Consumo Recibo]],2)</f>
        <v>8.4700000000000006</v>
      </c>
      <c r="S27" s="2">
        <f>ROUND(Tabla4246[[#This Row],[Consumo Medidor]]*Tabla4246[[#This Row],[Valor Unitario]],2)</f>
        <v>33.880000000000003</v>
      </c>
      <c r="T27" s="17">
        <f>(Tabla4246[[#This Row],[Total a Pagar]]/Tabla4246[[#This Row],[Importe Recibo]])</f>
        <v>4.5470406656824593E-2</v>
      </c>
      <c r="U27" s="2">
        <f>Tabla424[[#This Row],[Total a Pagar]]</f>
        <v>55.89</v>
      </c>
      <c r="V27" s="2">
        <f>Tabla4246[[#This Row],[Total a Pagar]]</f>
        <v>33.880000000000003</v>
      </c>
      <c r="W27" s="2">
        <f>ROUND(Tabla_Peluqueria[[#This Row],[Total Luz]]+Tabla_Peluqueria[[#This Row],[Total Agua]],2)</f>
        <v>89.77</v>
      </c>
      <c r="X27" s="14"/>
    </row>
    <row r="28" spans="1:24" x14ac:dyDescent="0.25">
      <c r="A28">
        <v>2026</v>
      </c>
      <c r="B28" s="8" t="s">
        <v>1</v>
      </c>
      <c r="C28" s="1">
        <v>11110</v>
      </c>
      <c r="D28" s="1">
        <v>11095</v>
      </c>
      <c r="E28" s="4">
        <f>Tabla424[[#This Row],[Lectura Medidor Actual]]-Tabla424[[#This Row],[Lectura Medidor Anterior]]</f>
        <v>15</v>
      </c>
      <c r="F28" s="7">
        <f>Tabla_Luz[[#This Row],[Importe Recibo]]</f>
        <v>475</v>
      </c>
      <c r="G28" s="1">
        <f>Tabla_Luz[[#This Row],[Consumo Recibo]]</f>
        <v>584</v>
      </c>
      <c r="H28" s="5">
        <f>ROUND(Tabla424[[#This Row],[Importe Recibo]]/Tabla424[[#This Row],[Consumo Recibo]],2)</f>
        <v>0.81</v>
      </c>
      <c r="I28" s="2">
        <f>ROUND(Tabla424[[#This Row],[Consumo Medidor]]*Tabla424[[#This Row],[Valor Unitario]],2)</f>
        <v>12.15</v>
      </c>
      <c r="J28" s="17">
        <f>(Tabla424[[#This Row],[Total a Pagar]]/Tabla424[[#This Row],[Importe Recibo]])</f>
        <v>2.5578947368421052E-2</v>
      </c>
      <c r="K28">
        <v>2026</v>
      </c>
      <c r="L28" s="8" t="s">
        <v>1</v>
      </c>
      <c r="M28" s="1">
        <v>521</v>
      </c>
      <c r="N28" s="1">
        <v>519</v>
      </c>
      <c r="O28" s="4">
        <f>Tabla4246[[#This Row],[Lectura Medidor Actual]]-Tabla4246[[#This Row],[Lectura Medidor Anterior]]</f>
        <v>2</v>
      </c>
      <c r="P28" s="7">
        <f>Tabla_Agua[[#This Row],[Importe Recibo]]</f>
        <v>773.6</v>
      </c>
      <c r="Q28" s="1">
        <f>Tabla_Agua[[#This Row],[Consumo Recibo]]</f>
        <v>91</v>
      </c>
      <c r="R28" s="5">
        <f>ROUND(Tabla4246[[#This Row],[Importe Recibo]]/Tabla4246[[#This Row],[Consumo Recibo]],2)</f>
        <v>8.5</v>
      </c>
      <c r="S28" s="2">
        <f>ROUND(Tabla4246[[#This Row],[Consumo Medidor]]*Tabla4246[[#This Row],[Valor Unitario]],2)</f>
        <v>17</v>
      </c>
      <c r="T28" s="17">
        <f>(Tabla4246[[#This Row],[Total a Pagar]]/Tabla4246[[#This Row],[Importe Recibo]])</f>
        <v>2.1975180972078592E-2</v>
      </c>
      <c r="U28" s="2">
        <f>Tabla424[[#This Row],[Total a Pagar]]</f>
        <v>12.15</v>
      </c>
      <c r="V28" s="2">
        <f>Tabla4246[[#This Row],[Total a Pagar]]</f>
        <v>17</v>
      </c>
      <c r="W28" s="2">
        <f>ROUND(Tabla_Peluqueria[[#This Row],[Total Luz]]+Tabla_Peluqueria[[#This Row],[Total Agua]],2)</f>
        <v>29.15</v>
      </c>
      <c r="X28" s="14"/>
    </row>
  </sheetData>
  <mergeCells count="10">
    <mergeCell ref="U1:X1"/>
    <mergeCell ref="U2:X2"/>
    <mergeCell ref="A1:I1"/>
    <mergeCell ref="F2:H2"/>
    <mergeCell ref="A2:B2"/>
    <mergeCell ref="C2:E2"/>
    <mergeCell ref="K1:S1"/>
    <mergeCell ref="K2:L2"/>
    <mergeCell ref="M2:O2"/>
    <mergeCell ref="P2:R2"/>
  </mergeCells>
  <phoneticPr fontId="4" type="noConversion"/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FCF1F-6B1F-4034-913E-5E971EF2434B}">
  <sheetPr codeName="Hoja2"/>
  <dimension ref="A1:X28"/>
  <sheetViews>
    <sheetView tabSelected="1" topLeftCell="J1" zoomScaleNormal="100" workbookViewId="0">
      <selection activeCell="S16" sqref="S16"/>
    </sheetView>
  </sheetViews>
  <sheetFormatPr baseColWidth="10" defaultRowHeight="15" x14ac:dyDescent="0.25"/>
  <cols>
    <col min="1" max="1" width="6.85546875" bestFit="1" customWidth="1"/>
    <col min="2" max="2" width="11" bestFit="1" customWidth="1"/>
    <col min="3" max="3" width="24.140625" bestFit="1" customWidth="1"/>
    <col min="4" max="4" width="26" bestFit="1" customWidth="1"/>
    <col min="5" max="5" width="19.85546875" bestFit="1" customWidth="1"/>
    <col min="6" max="6" width="16.85546875" bestFit="1" customWidth="1"/>
    <col min="7" max="7" width="18" bestFit="1" customWidth="1"/>
    <col min="8" max="8" width="15.7109375" bestFit="1" customWidth="1"/>
    <col min="9" max="9" width="14.42578125" bestFit="1" customWidth="1"/>
    <col min="10" max="10" width="20.42578125" bestFit="1" customWidth="1"/>
    <col min="11" max="11" width="6.85546875" bestFit="1" customWidth="1"/>
    <col min="12" max="12" width="11" bestFit="1" customWidth="1"/>
    <col min="13" max="13" width="24.140625" bestFit="1" customWidth="1"/>
    <col min="14" max="14" width="26" bestFit="1" customWidth="1"/>
    <col min="15" max="15" width="19.85546875" bestFit="1" customWidth="1"/>
    <col min="16" max="16" width="16.85546875" bestFit="1" customWidth="1"/>
    <col min="17" max="17" width="18" bestFit="1" customWidth="1"/>
    <col min="18" max="18" width="15.7109375" bestFit="1" customWidth="1"/>
    <col min="19" max="19" width="14.42578125" bestFit="1" customWidth="1"/>
    <col min="20" max="20" width="20.42578125" bestFit="1" customWidth="1"/>
    <col min="21" max="21" width="11" bestFit="1" customWidth="1"/>
    <col min="22" max="22" width="12.5703125" bestFit="1" customWidth="1"/>
    <col min="23" max="23" width="14.42578125" bestFit="1" customWidth="1"/>
    <col min="24" max="24" width="58.28515625" bestFit="1" customWidth="1"/>
  </cols>
  <sheetData>
    <row r="1" spans="1:24" ht="26.25" x14ac:dyDescent="0.4">
      <c r="A1" s="46" t="s">
        <v>10</v>
      </c>
      <c r="B1" s="47"/>
      <c r="C1" s="47"/>
      <c r="D1" s="47"/>
      <c r="E1" s="47"/>
      <c r="F1" s="47"/>
      <c r="G1" s="47"/>
      <c r="H1" s="47"/>
      <c r="I1" s="48"/>
      <c r="J1" s="9"/>
      <c r="K1" s="54" t="s">
        <v>12</v>
      </c>
      <c r="L1" s="55"/>
      <c r="M1" s="55"/>
      <c r="N1" s="55"/>
      <c r="O1" s="55"/>
      <c r="P1" s="55"/>
      <c r="Q1" s="55"/>
      <c r="R1" s="55"/>
      <c r="S1" s="56"/>
      <c r="U1" s="41" t="s">
        <v>25</v>
      </c>
      <c r="V1" s="42"/>
      <c r="W1" s="42"/>
      <c r="X1" s="42"/>
    </row>
    <row r="2" spans="1:24" x14ac:dyDescent="0.25">
      <c r="A2" s="52" t="s">
        <v>22</v>
      </c>
      <c r="B2" s="53"/>
      <c r="C2" s="49" t="s">
        <v>20</v>
      </c>
      <c r="D2" s="50"/>
      <c r="E2" s="51"/>
      <c r="F2" s="49" t="s">
        <v>19</v>
      </c>
      <c r="G2" s="50"/>
      <c r="H2" s="51"/>
      <c r="I2" s="6" t="s">
        <v>21</v>
      </c>
      <c r="J2" s="9"/>
      <c r="K2" s="57" t="s">
        <v>22</v>
      </c>
      <c r="L2" s="58"/>
      <c r="M2" s="59" t="s">
        <v>20</v>
      </c>
      <c r="N2" s="60"/>
      <c r="O2" s="61"/>
      <c r="P2" s="59" t="s">
        <v>19</v>
      </c>
      <c r="Q2" s="60"/>
      <c r="R2" s="61"/>
      <c r="S2" s="10" t="s">
        <v>21</v>
      </c>
      <c r="U2" s="43" t="s">
        <v>24</v>
      </c>
      <c r="V2" s="44"/>
      <c r="W2" s="44"/>
      <c r="X2" s="45"/>
    </row>
    <row r="3" spans="1:24" x14ac:dyDescent="0.25">
      <c r="A3" s="11" t="s">
        <v>23</v>
      </c>
      <c r="B3" s="11" t="s">
        <v>0</v>
      </c>
      <c r="C3" s="11" t="s">
        <v>14</v>
      </c>
      <c r="D3" s="11" t="s">
        <v>16</v>
      </c>
      <c r="E3" s="11" t="s">
        <v>15</v>
      </c>
      <c r="F3" s="12" t="s">
        <v>13</v>
      </c>
      <c r="G3" s="11" t="s">
        <v>17</v>
      </c>
      <c r="H3" s="13" t="s">
        <v>11</v>
      </c>
      <c r="I3" s="12" t="s">
        <v>18</v>
      </c>
      <c r="J3" s="15" t="s">
        <v>33</v>
      </c>
      <c r="K3" s="1" t="s">
        <v>23</v>
      </c>
      <c r="L3" s="1" t="s">
        <v>0</v>
      </c>
      <c r="M3" s="1" t="s">
        <v>14</v>
      </c>
      <c r="N3" s="1" t="s">
        <v>16</v>
      </c>
      <c r="O3" s="1" t="s">
        <v>15</v>
      </c>
      <c r="P3" s="1" t="s">
        <v>13</v>
      </c>
      <c r="Q3" s="1" t="s">
        <v>17</v>
      </c>
      <c r="R3" s="1" t="s">
        <v>11</v>
      </c>
      <c r="S3" s="1" t="s">
        <v>18</v>
      </c>
      <c r="T3" s="18" t="s">
        <v>33</v>
      </c>
      <c r="U3" s="14" t="s">
        <v>26</v>
      </c>
      <c r="V3" s="14" t="s">
        <v>27</v>
      </c>
      <c r="W3" s="14" t="s">
        <v>18</v>
      </c>
      <c r="X3" s="14" t="s">
        <v>28</v>
      </c>
    </row>
    <row r="4" spans="1:24" hidden="1" x14ac:dyDescent="0.25">
      <c r="A4" s="3">
        <v>2024</v>
      </c>
      <c r="B4" s="8" t="s">
        <v>1</v>
      </c>
      <c r="C4" s="1">
        <v>4815</v>
      </c>
      <c r="D4" s="1">
        <v>4528</v>
      </c>
      <c r="E4" s="4">
        <f>Tabla42420[[#This Row],[Lectura Medidor Actual]]-Tabla42420[[#This Row],[Lectura Medidor Anterior]]</f>
        <v>287</v>
      </c>
      <c r="F4" s="7">
        <f>Tabla_Luz[[#This Row],[Importe Recibo]]</f>
        <v>193</v>
      </c>
      <c r="G4" s="1">
        <f>Tabla_Luz[[#This Row],[Consumo Recibo]]</f>
        <v>215</v>
      </c>
      <c r="H4" s="5">
        <f>ROUND(Tabla42420[[#This Row],[Importe Recibo]]/Tabla42420[[#This Row],[Consumo Recibo]],2)</f>
        <v>0.9</v>
      </c>
      <c r="I4" s="2">
        <f>ROUND(Tabla42420[[#This Row],[Consumo Medidor]]*Tabla42420[[#This Row],[Valor Unitario]],2)</f>
        <v>258.3</v>
      </c>
      <c r="J4" s="16">
        <f>Tabla42420[[#This Row],[Total a Pagar]]/Tabla42420[[#This Row],[Importe Recibo]]</f>
        <v>1.3383419689119171</v>
      </c>
      <c r="K4">
        <v>2024</v>
      </c>
      <c r="L4" s="8" t="s">
        <v>1</v>
      </c>
      <c r="M4" s="1">
        <v>1773</v>
      </c>
      <c r="N4" s="1">
        <v>1743</v>
      </c>
      <c r="O4" s="4">
        <f>Tabla424621[[#This Row],[Lectura Medidor Actual]]-Tabla424621[[#This Row],[Lectura Medidor Anterior]]</f>
        <v>30</v>
      </c>
      <c r="P4" s="7">
        <f>Tabla_Agua[[#This Row],[Importe Recibo]]</f>
        <v>379.2</v>
      </c>
      <c r="Q4" s="1">
        <f>Tabla_Agua[[#This Row],[Consumo Recibo]]</f>
        <v>41</v>
      </c>
      <c r="R4" s="5">
        <f>ROUND(Tabla424621[[#This Row],[Importe Recibo]]/Tabla424621[[#This Row],[Consumo Recibo]],2)</f>
        <v>9.25</v>
      </c>
      <c r="S4" s="2">
        <f>ROUND(Tabla424621[[#This Row],[Consumo Medidor]]*Tabla424621[[#This Row],[Valor Unitario]],2)</f>
        <v>277.5</v>
      </c>
      <c r="T4" s="17">
        <f>Tabla424621[[#This Row],[Total a Pagar]]/Tabla424621[[#This Row],[Importe Recibo]]</f>
        <v>0.73180379746835444</v>
      </c>
      <c r="U4" s="2">
        <f>Tabla42420[[#This Row],[Total a Pagar]]</f>
        <v>258.3</v>
      </c>
      <c r="V4" s="2">
        <f>Tabla424621[[#This Row],[Total a Pagar]]</f>
        <v>277.5</v>
      </c>
      <c r="W4" s="2">
        <f>ROUND(Tabla_Lavanderia[[#This Row],[Total Luz]]+Tabla_Lavanderia[[#This Row],[Total Agua]],2)</f>
        <v>535.79999999999995</v>
      </c>
      <c r="X4" s="14" t="s">
        <v>29</v>
      </c>
    </row>
    <row r="5" spans="1:24" hidden="1" x14ac:dyDescent="0.25">
      <c r="A5" s="3">
        <v>2024</v>
      </c>
      <c r="B5" s="8" t="s">
        <v>2</v>
      </c>
      <c r="C5" s="1">
        <v>5012</v>
      </c>
      <c r="D5" s="1">
        <v>4815</v>
      </c>
      <c r="E5" s="4">
        <f>Tabla42420[[#This Row],[Lectura Medidor Actual]]-Tabla42420[[#This Row],[Lectura Medidor Anterior]]</f>
        <v>197</v>
      </c>
      <c r="F5" s="7">
        <f>Tabla_Luz[[#This Row],[Importe Recibo]]</f>
        <v>259</v>
      </c>
      <c r="G5" s="1">
        <f>Tabla_Luz[[#This Row],[Consumo Recibo]]</f>
        <v>299</v>
      </c>
      <c r="H5" s="5">
        <f>ROUND(Tabla42420[[#This Row],[Importe Recibo]]/Tabla42420[[#This Row],[Consumo Recibo]],2)</f>
        <v>0.87</v>
      </c>
      <c r="I5" s="2">
        <f>ROUND(Tabla42420[[#This Row],[Consumo Medidor]]*Tabla42420[[#This Row],[Valor Unitario]],2)</f>
        <v>171.39</v>
      </c>
      <c r="J5" s="16">
        <f>Tabla42420[[#This Row],[Total a Pagar]]/Tabla42420[[#This Row],[Importe Recibo]]</f>
        <v>0.66173745173745169</v>
      </c>
      <c r="K5">
        <v>2024</v>
      </c>
      <c r="L5" s="8" t="s">
        <v>2</v>
      </c>
      <c r="M5" s="1">
        <v>1798</v>
      </c>
      <c r="N5" s="1">
        <v>1773</v>
      </c>
      <c r="O5" s="4">
        <f>Tabla424621[[#This Row],[Lectura Medidor Actual]]-Tabla424621[[#This Row],[Lectura Medidor Anterior]]</f>
        <v>25</v>
      </c>
      <c r="P5" s="7">
        <f>Tabla_Agua[[#This Row],[Importe Recibo]]</f>
        <v>302.39999999999998</v>
      </c>
      <c r="Q5" s="1">
        <f>Tabla_Agua[[#This Row],[Consumo Recibo]]</f>
        <v>30</v>
      </c>
      <c r="R5" s="5">
        <f>ROUND(Tabla424621[[#This Row],[Importe Recibo]]/Tabla424621[[#This Row],[Consumo Recibo]],2)</f>
        <v>10.08</v>
      </c>
      <c r="S5" s="2">
        <f>ROUND(Tabla424621[[#This Row],[Consumo Medidor]]*Tabla424621[[#This Row],[Valor Unitario]],2)</f>
        <v>252</v>
      </c>
      <c r="T5" s="17">
        <f>Tabla424621[[#This Row],[Total a Pagar]]/Tabla424621[[#This Row],[Importe Recibo]]</f>
        <v>0.83333333333333337</v>
      </c>
      <c r="U5" s="2">
        <f>Tabla42420[[#This Row],[Total a Pagar]]</f>
        <v>171.39</v>
      </c>
      <c r="V5" s="2">
        <f>Tabla424621[[#This Row],[Total a Pagar]]</f>
        <v>252</v>
      </c>
      <c r="W5" s="2">
        <f>ROUND(Tabla_Lavanderia[[#This Row],[Total Luz]]+Tabla_Lavanderia[[#This Row],[Total Agua]],2)</f>
        <v>423.39</v>
      </c>
      <c r="X5" s="14" t="s">
        <v>29</v>
      </c>
    </row>
    <row r="6" spans="1:24" hidden="1" x14ac:dyDescent="0.25">
      <c r="A6">
        <v>2024</v>
      </c>
      <c r="B6" s="8" t="s">
        <v>3</v>
      </c>
      <c r="C6" s="1">
        <v>5169</v>
      </c>
      <c r="D6" s="1">
        <v>5012</v>
      </c>
      <c r="E6" s="4">
        <f>Tabla42420[[#This Row],[Lectura Medidor Actual]]-Tabla42420[[#This Row],[Lectura Medidor Anterior]]</f>
        <v>157</v>
      </c>
      <c r="F6" s="7">
        <f>Tabla_Luz[[#This Row],[Importe Recibo]]</f>
        <v>241</v>
      </c>
      <c r="G6" s="1">
        <f>Tabla_Luz[[#This Row],[Consumo Recibo]]</f>
        <v>282</v>
      </c>
      <c r="H6" s="5">
        <f>ROUND(Tabla42420[[#This Row],[Importe Recibo]]/Tabla42420[[#This Row],[Consumo Recibo]],2)</f>
        <v>0.85</v>
      </c>
      <c r="I6" s="2">
        <f>ROUND(Tabla42420[[#This Row],[Consumo Medidor]]*Tabla42420[[#This Row],[Valor Unitario]],2)</f>
        <v>133.44999999999999</v>
      </c>
      <c r="J6" s="17">
        <f>Tabla42420[[#This Row],[Total a Pagar]]/Tabla42420[[#This Row],[Importe Recibo]]</f>
        <v>0.55373443983402482</v>
      </c>
      <c r="K6">
        <v>2024</v>
      </c>
      <c r="L6" s="8" t="s">
        <v>3</v>
      </c>
      <c r="M6" s="1">
        <v>1819</v>
      </c>
      <c r="N6" s="1">
        <v>1798</v>
      </c>
      <c r="O6" s="4">
        <f>Tabla424621[[#This Row],[Lectura Medidor Actual]]-Tabla424621[[#This Row],[Lectura Medidor Anterior]]</f>
        <v>21</v>
      </c>
      <c r="P6" s="7">
        <f>Tabla_Agua[[#This Row],[Importe Recibo]]</f>
        <v>340.8</v>
      </c>
      <c r="Q6" s="1">
        <f>Tabla_Agua[[#This Row],[Consumo Recibo]]</f>
        <v>34</v>
      </c>
      <c r="R6" s="5">
        <f>ROUND(Tabla424621[[#This Row],[Importe Recibo]]/Tabla424621[[#This Row],[Consumo Recibo]],2)</f>
        <v>10.02</v>
      </c>
      <c r="S6" s="2">
        <f>ROUND(Tabla424621[[#This Row],[Consumo Medidor]]*Tabla424621[[#This Row],[Valor Unitario]],2)</f>
        <v>210.42</v>
      </c>
      <c r="T6" s="17">
        <f>Tabla424621[[#This Row],[Total a Pagar]]/Tabla424621[[#This Row],[Importe Recibo]]</f>
        <v>0.61742957746478866</v>
      </c>
      <c r="U6" s="2">
        <f>Tabla42420[[#This Row],[Total a Pagar]]</f>
        <v>133.44999999999999</v>
      </c>
      <c r="V6" s="2">
        <f>Tabla424621[[#This Row],[Total a Pagar]]</f>
        <v>210.42</v>
      </c>
      <c r="W6" s="2">
        <f>ROUND(Tabla_Lavanderia[[#This Row],[Total Luz]]+Tabla_Lavanderia[[#This Row],[Total Agua]],2)</f>
        <v>343.87</v>
      </c>
      <c r="X6" s="14" t="s">
        <v>29</v>
      </c>
    </row>
    <row r="7" spans="1:24" hidden="1" x14ac:dyDescent="0.25">
      <c r="A7">
        <v>2024</v>
      </c>
      <c r="B7" s="8" t="s">
        <v>4</v>
      </c>
      <c r="C7" s="1">
        <v>5395</v>
      </c>
      <c r="D7" s="1">
        <v>5169</v>
      </c>
      <c r="E7" s="4">
        <f>Tabla42420[[#This Row],[Lectura Medidor Actual]]-Tabla42420[[#This Row],[Lectura Medidor Anterior]]</f>
        <v>226</v>
      </c>
      <c r="F7" s="7">
        <f>Tabla_Luz[[#This Row],[Importe Recibo]]</f>
        <v>337</v>
      </c>
      <c r="G7" s="1">
        <f>Tabla_Luz[[#This Row],[Consumo Recibo]]</f>
        <v>395</v>
      </c>
      <c r="H7" s="5">
        <f>ROUND(Tabla42420[[#This Row],[Importe Recibo]]/Tabla42420[[#This Row],[Consumo Recibo]],2)</f>
        <v>0.85</v>
      </c>
      <c r="I7" s="2">
        <f>ROUND(Tabla42420[[#This Row],[Consumo Medidor]]*Tabla42420[[#This Row],[Valor Unitario]],2)</f>
        <v>192.1</v>
      </c>
      <c r="J7" s="17">
        <f>Tabla42420[[#This Row],[Total a Pagar]]/Tabla42420[[#This Row],[Importe Recibo]]</f>
        <v>0.57002967359050438</v>
      </c>
      <c r="K7">
        <v>2024</v>
      </c>
      <c r="L7" s="8" t="s">
        <v>4</v>
      </c>
      <c r="M7" s="1">
        <v>1846</v>
      </c>
      <c r="N7" s="1">
        <v>1819</v>
      </c>
      <c r="O7" s="4">
        <f>Tabla424621[[#This Row],[Lectura Medidor Actual]]-Tabla424621[[#This Row],[Lectura Medidor Anterior]]</f>
        <v>27</v>
      </c>
      <c r="P7" s="7">
        <f>Tabla_Agua[[#This Row],[Importe Recibo]]</f>
        <v>359.6</v>
      </c>
      <c r="Q7" s="1">
        <f>Tabla_Agua[[#This Row],[Consumo Recibo]]</f>
        <v>36</v>
      </c>
      <c r="R7" s="5">
        <f>ROUND(Tabla424621[[#This Row],[Importe Recibo]]/Tabla424621[[#This Row],[Consumo Recibo]],2)</f>
        <v>9.99</v>
      </c>
      <c r="S7" s="2">
        <f>ROUND(Tabla424621[[#This Row],[Consumo Medidor]]*Tabla424621[[#This Row],[Valor Unitario]],2)</f>
        <v>269.73</v>
      </c>
      <c r="T7" s="17">
        <f>Tabla424621[[#This Row],[Total a Pagar]]/Tabla424621[[#This Row],[Importe Recibo]]</f>
        <v>0.75008342602892097</v>
      </c>
      <c r="U7" s="2">
        <f>Tabla42420[[#This Row],[Total a Pagar]]</f>
        <v>192.1</v>
      </c>
      <c r="V7" s="2">
        <f>Tabla424621[[#This Row],[Total a Pagar]]</f>
        <v>269.73</v>
      </c>
      <c r="W7" s="2">
        <f>ROUND(Tabla_Lavanderia[[#This Row],[Total Luz]]+Tabla_Lavanderia[[#This Row],[Total Agua]],2)</f>
        <v>461.83</v>
      </c>
      <c r="X7" s="14" t="s">
        <v>29</v>
      </c>
    </row>
    <row r="8" spans="1:24" hidden="1" x14ac:dyDescent="0.25">
      <c r="A8">
        <v>2024</v>
      </c>
      <c r="B8" s="8" t="s">
        <v>5</v>
      </c>
      <c r="C8" s="1">
        <v>5598</v>
      </c>
      <c r="D8" s="1">
        <v>5395</v>
      </c>
      <c r="E8" s="4">
        <f>Tabla42420[[#This Row],[Lectura Medidor Actual]]-Tabla42420[[#This Row],[Lectura Medidor Anterior]]</f>
        <v>203</v>
      </c>
      <c r="F8" s="7">
        <f>Tabla_Luz[[#This Row],[Importe Recibo]]</f>
        <v>391</v>
      </c>
      <c r="G8" s="1">
        <f>Tabla_Luz[[#This Row],[Consumo Recibo]]</f>
        <v>462</v>
      </c>
      <c r="H8" s="5">
        <f>ROUND(Tabla42420[[#This Row],[Importe Recibo]]/Tabla42420[[#This Row],[Consumo Recibo]],2)</f>
        <v>0.85</v>
      </c>
      <c r="I8" s="2">
        <f>ROUND(Tabla42420[[#This Row],[Consumo Medidor]]*Tabla42420[[#This Row],[Valor Unitario]],2)</f>
        <v>172.55</v>
      </c>
      <c r="J8" s="17">
        <f>Tabla42420[[#This Row],[Total a Pagar]]/Tabla42420[[#This Row],[Importe Recibo]]</f>
        <v>0.44130434782608696</v>
      </c>
      <c r="K8">
        <v>2024</v>
      </c>
      <c r="L8" s="8" t="s">
        <v>5</v>
      </c>
      <c r="M8" s="1">
        <v>1870</v>
      </c>
      <c r="N8" s="1">
        <v>1846</v>
      </c>
      <c r="O8" s="4">
        <f>Tabla424621[[#This Row],[Lectura Medidor Actual]]-Tabla424621[[#This Row],[Lectura Medidor Anterior]]</f>
        <v>24</v>
      </c>
      <c r="P8" s="7">
        <f>Tabla_Agua[[#This Row],[Importe Recibo]]</f>
        <v>439.3</v>
      </c>
      <c r="Q8" s="1">
        <f>Tabla_Agua[[#This Row],[Consumo Recibo]]</f>
        <v>44</v>
      </c>
      <c r="R8" s="5">
        <f>ROUND(Tabla424621[[#This Row],[Importe Recibo]]/Tabla424621[[#This Row],[Consumo Recibo]],2)</f>
        <v>9.98</v>
      </c>
      <c r="S8" s="2">
        <f>ROUND(Tabla424621[[#This Row],[Consumo Medidor]]*Tabla424621[[#This Row],[Valor Unitario]],2)</f>
        <v>239.52</v>
      </c>
      <c r="T8" s="17">
        <f>Tabla424621[[#This Row],[Total a Pagar]]/Tabla424621[[#This Row],[Importe Recibo]]</f>
        <v>0.54523104939676759</v>
      </c>
      <c r="U8" s="2">
        <f>Tabla42420[[#This Row],[Total a Pagar]]</f>
        <v>172.55</v>
      </c>
      <c r="V8" s="2">
        <f>Tabla424621[[#This Row],[Total a Pagar]]</f>
        <v>239.52</v>
      </c>
      <c r="W8" s="2">
        <f>ROUND(Tabla_Lavanderia[[#This Row],[Total Luz]]+Tabla_Lavanderia[[#This Row],[Total Agua]],2)</f>
        <v>412.07</v>
      </c>
      <c r="X8" s="14" t="s">
        <v>29</v>
      </c>
    </row>
    <row r="9" spans="1:24" hidden="1" x14ac:dyDescent="0.25">
      <c r="A9">
        <v>2024</v>
      </c>
      <c r="B9" s="8" t="s">
        <v>6</v>
      </c>
      <c r="C9" s="1">
        <v>5869</v>
      </c>
      <c r="D9" s="1">
        <v>5598</v>
      </c>
      <c r="E9" s="4">
        <f>Tabla42420[[#This Row],[Lectura Medidor Actual]]-Tabla42420[[#This Row],[Lectura Medidor Anterior]]</f>
        <v>271</v>
      </c>
      <c r="F9" s="7">
        <f>Tabla_Luz[[#This Row],[Importe Recibo]]</f>
        <v>404.91</v>
      </c>
      <c r="G9" s="1">
        <f>Tabla_Luz[[#This Row],[Consumo Recibo]]</f>
        <v>485</v>
      </c>
      <c r="H9" s="5">
        <f>ROUND(Tabla42420[[#This Row],[Importe Recibo]]/Tabla42420[[#This Row],[Consumo Recibo]],2)</f>
        <v>0.83</v>
      </c>
      <c r="I9" s="2">
        <f>ROUND(Tabla42420[[#This Row],[Consumo Medidor]]*Tabla42420[[#This Row],[Valor Unitario]],2)</f>
        <v>224.93</v>
      </c>
      <c r="J9" s="17">
        <f>Tabla42420[[#This Row],[Total a Pagar]]/Tabla42420[[#This Row],[Importe Recibo]]</f>
        <v>0.55550616186313007</v>
      </c>
      <c r="K9">
        <v>2024</v>
      </c>
      <c r="L9" s="8" t="s">
        <v>6</v>
      </c>
      <c r="M9" s="1">
        <v>1898</v>
      </c>
      <c r="N9" s="1">
        <v>1870</v>
      </c>
      <c r="O9" s="4">
        <f>Tabla424621[[#This Row],[Lectura Medidor Actual]]-Tabla424621[[#This Row],[Lectura Medidor Anterior]]</f>
        <v>28</v>
      </c>
      <c r="P9" s="7">
        <f>Tabla_Agua[[#This Row],[Importe Recibo]]</f>
        <v>794.3</v>
      </c>
      <c r="Q9" s="1">
        <f>Tabla_Agua[[#This Row],[Consumo Recibo]]</f>
        <v>79</v>
      </c>
      <c r="R9" s="5">
        <f>ROUND(Tabla424621[[#This Row],[Importe Recibo]]/Tabla424621[[#This Row],[Consumo Recibo]],2)</f>
        <v>10.050000000000001</v>
      </c>
      <c r="S9" s="2">
        <f>ROUND(Tabla424621[[#This Row],[Consumo Medidor]]*Tabla424621[[#This Row],[Valor Unitario]],2)</f>
        <v>281.39999999999998</v>
      </c>
      <c r="T9" s="17">
        <f>Tabla424621[[#This Row],[Total a Pagar]]/Tabla424621[[#This Row],[Importe Recibo]]</f>
        <v>0.35427420370137225</v>
      </c>
      <c r="U9" s="2">
        <f>Tabla42420[[#This Row],[Total a Pagar]]</f>
        <v>224.93</v>
      </c>
      <c r="V9" s="2">
        <f>Tabla424621[[#This Row],[Total a Pagar]]</f>
        <v>281.39999999999998</v>
      </c>
      <c r="W9" s="2">
        <f>ROUND(Tabla_Lavanderia[[#This Row],[Total Luz]]+Tabla_Lavanderia[[#This Row],[Total Agua]],2)</f>
        <v>506.33</v>
      </c>
      <c r="X9" s="14" t="s">
        <v>29</v>
      </c>
    </row>
    <row r="10" spans="1:24" hidden="1" x14ac:dyDescent="0.25">
      <c r="A10">
        <v>2024</v>
      </c>
      <c r="B10" s="8" t="s">
        <v>7</v>
      </c>
      <c r="C10" s="1">
        <v>6230</v>
      </c>
      <c r="D10" s="1">
        <v>5869</v>
      </c>
      <c r="E10" s="4">
        <f>Tabla42420[[#This Row],[Lectura Medidor Actual]]-Tabla42420[[#This Row],[Lectura Medidor Anterior]]</f>
        <v>361</v>
      </c>
      <c r="F10" s="7">
        <f>Tabla_Luz[[#This Row],[Importe Recibo]]</f>
        <v>456.14</v>
      </c>
      <c r="G10" s="1">
        <f>Tabla_Luz[[#This Row],[Consumo Recibo]]</f>
        <v>510</v>
      </c>
      <c r="H10" s="5">
        <f>ROUND(Tabla42420[[#This Row],[Importe Recibo]]/Tabla42420[[#This Row],[Consumo Recibo]],2)</f>
        <v>0.89</v>
      </c>
      <c r="I10" s="2">
        <f>ROUND(Tabla42420[[#This Row],[Consumo Medidor]]*Tabla42420[[#This Row],[Valor Unitario]],2)</f>
        <v>321.29000000000002</v>
      </c>
      <c r="J10" s="17">
        <f>Tabla42420[[#This Row],[Total a Pagar]]/Tabla42420[[#This Row],[Importe Recibo]]</f>
        <v>0.7043670802823695</v>
      </c>
      <c r="K10">
        <v>2024</v>
      </c>
      <c r="L10" s="8" t="s">
        <v>7</v>
      </c>
      <c r="M10" s="1">
        <v>1936</v>
      </c>
      <c r="N10" s="1">
        <v>1898</v>
      </c>
      <c r="O10" s="4">
        <f>Tabla424621[[#This Row],[Lectura Medidor Actual]]-Tabla424621[[#This Row],[Lectura Medidor Anterior]]</f>
        <v>38</v>
      </c>
      <c r="P10" s="7">
        <f>Tabla_Agua[[#This Row],[Importe Recibo]]</f>
        <v>453.8</v>
      </c>
      <c r="Q10" s="1">
        <f>Tabla_Agua[[#This Row],[Consumo Recibo]]</f>
        <v>53</v>
      </c>
      <c r="R10" s="5">
        <f>ROUND(Tabla424621[[#This Row],[Importe Recibo]]/Tabla424621[[#This Row],[Consumo Recibo]],2)</f>
        <v>8.56</v>
      </c>
      <c r="S10" s="2">
        <f>ROUND(Tabla424621[[#This Row],[Consumo Medidor]]*Tabla424621[[#This Row],[Valor Unitario]],2)</f>
        <v>325.27999999999997</v>
      </c>
      <c r="T10" s="17">
        <f>Tabla424621[[#This Row],[Total a Pagar]]/Tabla424621[[#This Row],[Importe Recibo]]</f>
        <v>0.71679153812252083</v>
      </c>
      <c r="U10" s="2">
        <f>Tabla42420[[#This Row],[Total a Pagar]]</f>
        <v>321.29000000000002</v>
      </c>
      <c r="V10" s="2">
        <f>Tabla424621[[#This Row],[Total a Pagar]]</f>
        <v>325.27999999999997</v>
      </c>
      <c r="W10" s="2">
        <f>ROUND(Tabla_Lavanderia[[#This Row],[Total Luz]]+Tabla_Lavanderia[[#This Row],[Total Agua]],2)</f>
        <v>646.57000000000005</v>
      </c>
      <c r="X10" s="14" t="s">
        <v>29</v>
      </c>
    </row>
    <row r="11" spans="1:24" hidden="1" x14ac:dyDescent="0.25">
      <c r="A11">
        <v>2024</v>
      </c>
      <c r="B11" s="8" t="s">
        <v>8</v>
      </c>
      <c r="C11" s="1">
        <v>6623</v>
      </c>
      <c r="D11" s="1">
        <v>6230</v>
      </c>
      <c r="E11" s="4">
        <f>Tabla42420[[#This Row],[Lectura Medidor Actual]]-Tabla42420[[#This Row],[Lectura Medidor Anterior]]</f>
        <v>393</v>
      </c>
      <c r="F11" s="7">
        <f>Tabla_Luz[[#This Row],[Importe Recibo]]</f>
        <v>501.5</v>
      </c>
      <c r="G11" s="1">
        <f>Tabla_Luz[[#This Row],[Consumo Recibo]]</f>
        <v>560</v>
      </c>
      <c r="H11" s="5">
        <f>ROUND(Tabla42420[[#This Row],[Importe Recibo]]/Tabla42420[[#This Row],[Consumo Recibo]],2)</f>
        <v>0.9</v>
      </c>
      <c r="I11" s="2">
        <f>ROUND(Tabla42420[[#This Row],[Consumo Medidor]]*Tabla42420[[#This Row],[Valor Unitario]],2)</f>
        <v>353.7</v>
      </c>
      <c r="J11" s="17">
        <f>Tabla42420[[#This Row],[Total a Pagar]]/Tabla42420[[#This Row],[Importe Recibo]]</f>
        <v>0.70528414755732804</v>
      </c>
      <c r="K11">
        <v>2024</v>
      </c>
      <c r="L11" s="8" t="s">
        <v>8</v>
      </c>
      <c r="M11" s="1">
        <v>1976</v>
      </c>
      <c r="N11" s="1">
        <v>1936</v>
      </c>
      <c r="O11" s="4">
        <f>Tabla424621[[#This Row],[Lectura Medidor Actual]]-Tabla424621[[#This Row],[Lectura Medidor Anterior]]</f>
        <v>40</v>
      </c>
      <c r="P11" s="7">
        <f>Tabla_Agua[[#This Row],[Importe Recibo]]</f>
        <v>424.2</v>
      </c>
      <c r="Q11" s="1">
        <f>Tabla_Agua[[#This Row],[Consumo Recibo]]</f>
        <v>50</v>
      </c>
      <c r="R11" s="5">
        <f>ROUND(Tabla424621[[#This Row],[Importe Recibo]]/Tabla424621[[#This Row],[Consumo Recibo]],2)</f>
        <v>8.48</v>
      </c>
      <c r="S11" s="2">
        <f>ROUND(Tabla424621[[#This Row],[Consumo Medidor]]*Tabla424621[[#This Row],[Valor Unitario]],2)</f>
        <v>339.2</v>
      </c>
      <c r="T11" s="17">
        <f>Tabla424621[[#This Row],[Total a Pagar]]/Tabla424621[[#This Row],[Importe Recibo]]</f>
        <v>0.79962281942479962</v>
      </c>
      <c r="U11" s="2">
        <f>Tabla42420[[#This Row],[Total a Pagar]]</f>
        <v>353.7</v>
      </c>
      <c r="V11" s="2">
        <f>Tabla424621[[#This Row],[Total a Pagar]]</f>
        <v>339.2</v>
      </c>
      <c r="W11" s="2">
        <f>ROUND(Tabla_Lavanderia[[#This Row],[Total Luz]]+Tabla_Lavanderia[[#This Row],[Total Agua]],2)</f>
        <v>692.9</v>
      </c>
      <c r="X11" s="14" t="s">
        <v>29</v>
      </c>
    </row>
    <row r="12" spans="1:24" hidden="1" x14ac:dyDescent="0.25">
      <c r="A12">
        <v>2024</v>
      </c>
      <c r="B12" s="8" t="s">
        <v>9</v>
      </c>
      <c r="C12" s="1">
        <v>6929</v>
      </c>
      <c r="D12" s="1">
        <v>6623</v>
      </c>
      <c r="E12" s="4">
        <f>Tabla42420[[#This Row],[Lectura Medidor Actual]]-Tabla42420[[#This Row],[Lectura Medidor Anterior]]</f>
        <v>306</v>
      </c>
      <c r="F12" s="7">
        <f>Tabla_Luz[[#This Row],[Importe Recibo]]</f>
        <v>512</v>
      </c>
      <c r="G12" s="1">
        <f>Tabla_Luz[[#This Row],[Consumo Recibo]]</f>
        <v>577</v>
      </c>
      <c r="H12" s="5">
        <f>ROUND(Tabla42420[[#This Row],[Importe Recibo]]/Tabla42420[[#This Row],[Consumo Recibo]],2)</f>
        <v>0.89</v>
      </c>
      <c r="I12" s="2">
        <f>ROUND(Tabla42420[[#This Row],[Consumo Medidor]]*Tabla42420[[#This Row],[Valor Unitario]],2)</f>
        <v>272.33999999999997</v>
      </c>
      <c r="J12" s="17">
        <f>Tabla42420[[#This Row],[Total a Pagar]]/Tabla42420[[#This Row],[Importe Recibo]]</f>
        <v>0.53191406249999995</v>
      </c>
      <c r="K12">
        <v>2024</v>
      </c>
      <c r="L12" s="8" t="s">
        <v>9</v>
      </c>
      <c r="M12" s="1">
        <v>2009</v>
      </c>
      <c r="N12" s="1">
        <v>1976</v>
      </c>
      <c r="O12" s="4">
        <f>Tabla424621[[#This Row],[Lectura Medidor Actual]]-Tabla424621[[#This Row],[Lectura Medidor Anterior]]</f>
        <v>33</v>
      </c>
      <c r="P12" s="7">
        <f>Tabla_Agua[[#This Row],[Importe Recibo]]</f>
        <v>455.7</v>
      </c>
      <c r="Q12" s="1">
        <f>Tabla_Agua[[#This Row],[Consumo Recibo]]</f>
        <v>54</v>
      </c>
      <c r="R12" s="5">
        <f>ROUND(Tabla424621[[#This Row],[Importe Recibo]]/Tabla424621[[#This Row],[Consumo Recibo]],2)</f>
        <v>8.44</v>
      </c>
      <c r="S12" s="2">
        <f>ROUND(Tabla424621[[#This Row],[Consumo Medidor]]*Tabla424621[[#This Row],[Valor Unitario]],2)</f>
        <v>278.52</v>
      </c>
      <c r="T12" s="17">
        <f>Tabla424621[[#This Row],[Total a Pagar]]/Tabla424621[[#This Row],[Importe Recibo]]</f>
        <v>0.6111915734035549</v>
      </c>
      <c r="U12" s="2">
        <f>Tabla42420[[#This Row],[Total a Pagar]]</f>
        <v>272.33999999999997</v>
      </c>
      <c r="V12" s="2">
        <f>Tabla424621[[#This Row],[Total a Pagar]]</f>
        <v>278.52</v>
      </c>
      <c r="W12" s="2">
        <f>ROUND(Tabla_Lavanderia[[#This Row],[Total Luz]]+Tabla_Lavanderia[[#This Row],[Total Agua]],2)</f>
        <v>550.86</v>
      </c>
      <c r="X12" s="14" t="s">
        <v>29</v>
      </c>
    </row>
    <row r="13" spans="1:24" hidden="1" x14ac:dyDescent="0.25">
      <c r="A13">
        <v>2024</v>
      </c>
      <c r="B13" s="8" t="s">
        <v>32</v>
      </c>
      <c r="C13" s="1">
        <v>7128</v>
      </c>
      <c r="D13" s="1">
        <v>6929</v>
      </c>
      <c r="E13" s="4">
        <f>Tabla42420[[#This Row],[Lectura Medidor Actual]]-Tabla42420[[#This Row],[Lectura Medidor Anterior]]</f>
        <v>199</v>
      </c>
      <c r="F13" s="7">
        <f>Tabla_Luz[[#This Row],[Importe Recibo]]</f>
        <v>421.5</v>
      </c>
      <c r="G13" s="1">
        <f>Tabla_Luz[[#This Row],[Consumo Recibo]]</f>
        <v>493</v>
      </c>
      <c r="H13" s="5">
        <f>ROUND(Tabla42420[[#This Row],[Importe Recibo]]/Tabla42420[[#This Row],[Consumo Recibo]],2)</f>
        <v>0.85</v>
      </c>
      <c r="I13" s="2">
        <f>ROUND(Tabla42420[[#This Row],[Consumo Medidor]]*Tabla42420[[#This Row],[Valor Unitario]],2)</f>
        <v>169.15</v>
      </c>
      <c r="J13" s="17">
        <f>Tabla42420[[#This Row],[Total a Pagar]]/Tabla42420[[#This Row],[Importe Recibo]]</f>
        <v>0.40130486358244366</v>
      </c>
      <c r="K13">
        <v>2024</v>
      </c>
      <c r="L13" s="8" t="s">
        <v>32</v>
      </c>
      <c r="M13" s="1">
        <v>2041</v>
      </c>
      <c r="N13" s="1">
        <v>2009</v>
      </c>
      <c r="O13" s="4">
        <f>Tabla424621[[#This Row],[Lectura Medidor Actual]]-Tabla424621[[#This Row],[Lectura Medidor Anterior]]</f>
        <v>32</v>
      </c>
      <c r="P13" s="7">
        <f>Tabla_Agua[[#This Row],[Importe Recibo]]</f>
        <v>441.1</v>
      </c>
      <c r="Q13" s="1">
        <f>Tabla_Agua[[#This Row],[Consumo Recibo]]</f>
        <v>52</v>
      </c>
      <c r="R13" s="5">
        <f>ROUND(Tabla424621[[#This Row],[Importe Recibo]]/Tabla424621[[#This Row],[Consumo Recibo]],2)</f>
        <v>8.48</v>
      </c>
      <c r="S13" s="2">
        <f>ROUND(Tabla424621[[#This Row],[Consumo Medidor]]*Tabla424621[[#This Row],[Valor Unitario]],2)</f>
        <v>271.36</v>
      </c>
      <c r="T13" s="17">
        <f>Tabla424621[[#This Row],[Total a Pagar]]/Tabla424621[[#This Row],[Importe Recibo]]</f>
        <v>0.61518929947857626</v>
      </c>
      <c r="U13" s="2">
        <f>Tabla42420[[#This Row],[Total a Pagar]]</f>
        <v>169.15</v>
      </c>
      <c r="V13" s="2">
        <f>Tabla424621[[#This Row],[Total a Pagar]]</f>
        <v>271.36</v>
      </c>
      <c r="W13" s="2">
        <f>ROUND(Tabla_Lavanderia[[#This Row],[Total Luz]]+Tabla_Lavanderia[[#This Row],[Total Agua]],2)</f>
        <v>440.51</v>
      </c>
      <c r="X13" s="14"/>
    </row>
    <row r="14" spans="1:24" hidden="1" x14ac:dyDescent="0.25">
      <c r="A14">
        <v>2024</v>
      </c>
      <c r="B14" s="8" t="s">
        <v>34</v>
      </c>
      <c r="C14" s="1">
        <v>7340</v>
      </c>
      <c r="D14" s="1">
        <v>7128</v>
      </c>
      <c r="E14" s="4">
        <f>Tabla42420[[#This Row],[Lectura Medidor Actual]]-Tabla42420[[#This Row],[Lectura Medidor Anterior]]</f>
        <v>212</v>
      </c>
      <c r="F14" s="7">
        <f>Tabla_Luz[[#This Row],[Importe Recibo]]</f>
        <v>384</v>
      </c>
      <c r="G14" s="1">
        <f>Tabla_Luz[[#This Row],[Consumo Recibo]]</f>
        <v>449</v>
      </c>
      <c r="H14" s="5">
        <f>ROUND(Tabla42420[[#This Row],[Importe Recibo]]/Tabla42420[[#This Row],[Consumo Recibo]],2)</f>
        <v>0.86</v>
      </c>
      <c r="I14" s="2">
        <f>ROUND(Tabla42420[[#This Row],[Consumo Medidor]]*Tabla42420[[#This Row],[Valor Unitario]],2)</f>
        <v>182.32</v>
      </c>
      <c r="J14" s="17">
        <f>Tabla42420[[#This Row],[Total a Pagar]]/Tabla42420[[#This Row],[Importe Recibo]]</f>
        <v>0.47479166666666667</v>
      </c>
      <c r="K14">
        <v>2024</v>
      </c>
      <c r="L14" s="8" t="s">
        <v>34</v>
      </c>
      <c r="M14" s="1">
        <v>2084</v>
      </c>
      <c r="N14" s="1">
        <v>2041</v>
      </c>
      <c r="O14" s="4">
        <f>Tabla424621[[#This Row],[Lectura Medidor Actual]]-Tabla424621[[#This Row],[Lectura Medidor Anterior]]</f>
        <v>43</v>
      </c>
      <c r="P14" s="7">
        <f>Tabla_Agua[[#This Row],[Importe Recibo]]</f>
        <v>616.4</v>
      </c>
      <c r="Q14" s="1">
        <f>Tabla_Agua[[#This Row],[Consumo Recibo]]</f>
        <v>73</v>
      </c>
      <c r="R14" s="5">
        <f>ROUND(Tabla424621[[#This Row],[Importe Recibo]]/Tabla424621[[#This Row],[Consumo Recibo]],2)</f>
        <v>8.44</v>
      </c>
      <c r="S14" s="2">
        <f>ROUND(Tabla424621[[#This Row],[Consumo Medidor]]*Tabla424621[[#This Row],[Valor Unitario]],2)</f>
        <v>362.92</v>
      </c>
      <c r="T14" s="17">
        <f>Tabla424621[[#This Row],[Total a Pagar]]/Tabla424621[[#This Row],[Importe Recibo]]</f>
        <v>0.58877352368591829</v>
      </c>
      <c r="U14" s="2">
        <f>Tabla42420[[#This Row],[Total a Pagar]]</f>
        <v>182.32</v>
      </c>
      <c r="V14" s="2">
        <f>Tabla424621[[#This Row],[Total a Pagar]]</f>
        <v>362.92</v>
      </c>
      <c r="W14" s="2">
        <f>ROUND(Tabla_Lavanderia[[#This Row],[Total Luz]]+Tabla_Lavanderia[[#This Row],[Total Agua]],2)</f>
        <v>545.24</v>
      </c>
      <c r="X14" s="14"/>
    </row>
    <row r="15" spans="1:24" hidden="1" x14ac:dyDescent="0.25">
      <c r="A15">
        <v>2024</v>
      </c>
      <c r="B15" s="8" t="s">
        <v>35</v>
      </c>
      <c r="C15" s="1">
        <v>7538</v>
      </c>
      <c r="D15" s="1">
        <v>7340</v>
      </c>
      <c r="E15" s="4">
        <f>Tabla42420[[#This Row],[Lectura Medidor Actual]]-Tabla42420[[#This Row],[Lectura Medidor Anterior]]</f>
        <v>198</v>
      </c>
      <c r="F15" s="7">
        <f>Tabla_Luz[[#This Row],[Importe Recibo]]</f>
        <v>384</v>
      </c>
      <c r="G15" s="1">
        <f>Tabla_Luz[[#This Row],[Consumo Recibo]]</f>
        <v>448</v>
      </c>
      <c r="H15" s="5">
        <f>ROUND(Tabla42420[[#This Row],[Importe Recibo]]/Tabla42420[[#This Row],[Consumo Recibo]],2)</f>
        <v>0.86</v>
      </c>
      <c r="I15" s="2">
        <f>ROUND(Tabla42420[[#This Row],[Consumo Medidor]]*Tabla42420[[#This Row],[Valor Unitario]],2)</f>
        <v>170.28</v>
      </c>
      <c r="J15" s="17">
        <f>Tabla42420[[#This Row],[Total a Pagar]]/Tabla42420[[#This Row],[Importe Recibo]]</f>
        <v>0.44343749999999998</v>
      </c>
      <c r="K15">
        <v>2024</v>
      </c>
      <c r="L15" s="8" t="s">
        <v>35</v>
      </c>
      <c r="M15" s="1">
        <v>2133</v>
      </c>
      <c r="N15" s="1">
        <v>2084</v>
      </c>
      <c r="O15" s="4">
        <f>Tabla424621[[#This Row],[Lectura Medidor Actual]]-Tabla424621[[#This Row],[Lectura Medidor Anterior]]</f>
        <v>49</v>
      </c>
      <c r="P15" s="7">
        <f>Tabla_Agua[[#This Row],[Importe Recibo]]</f>
        <v>618.6</v>
      </c>
      <c r="Q15" s="1">
        <f>Tabla_Agua[[#This Row],[Consumo Recibo]]</f>
        <v>73</v>
      </c>
      <c r="R15" s="5">
        <f>ROUND(Tabla424621[[#This Row],[Importe Recibo]]/Tabla424621[[#This Row],[Consumo Recibo]],2)</f>
        <v>8.4700000000000006</v>
      </c>
      <c r="S15" s="2">
        <f>ROUND(Tabla424621[[#This Row],[Consumo Medidor]]*Tabla424621[[#This Row],[Valor Unitario]],2)</f>
        <v>415.03</v>
      </c>
      <c r="T15" s="17">
        <f>Tabla424621[[#This Row],[Total a Pagar]]/Tabla424621[[#This Row],[Importe Recibo]]</f>
        <v>0.67091820239249911</v>
      </c>
      <c r="U15" s="2">
        <f>Tabla42420[[#This Row],[Total a Pagar]]</f>
        <v>170.28</v>
      </c>
      <c r="V15" s="2">
        <f>Tabla424621[[#This Row],[Total a Pagar]]</f>
        <v>415.03</v>
      </c>
      <c r="W15" s="2">
        <f>ROUND(Tabla_Lavanderia[[#This Row],[Total Luz]]+Tabla_Lavanderia[[#This Row],[Total Agua]],2)</f>
        <v>585.30999999999995</v>
      </c>
      <c r="X15" s="14"/>
    </row>
    <row r="16" spans="1:24" x14ac:dyDescent="0.25">
      <c r="A16">
        <v>2025</v>
      </c>
      <c r="B16" s="8" t="s">
        <v>1</v>
      </c>
      <c r="C16" s="1">
        <v>7763</v>
      </c>
      <c r="D16" s="1">
        <v>7538</v>
      </c>
      <c r="E16" s="4">
        <f>Tabla42420[[#This Row],[Lectura Medidor Actual]]-Tabla42420[[#This Row],[Lectura Medidor Anterior]]</f>
        <v>225</v>
      </c>
      <c r="F16" s="7">
        <f>Tabla_Luz[[#This Row],[Importe Recibo]]</f>
        <v>473</v>
      </c>
      <c r="G16" s="1">
        <f>Tabla_Luz[[#This Row],[Consumo Recibo]]</f>
        <v>532</v>
      </c>
      <c r="H16" s="5">
        <f>ROUND(Tabla42420[[#This Row],[Importe Recibo]]/Tabla42420[[#This Row],[Consumo Recibo]],2)</f>
        <v>0.89</v>
      </c>
      <c r="I16" s="2">
        <f>ROUND(Tabla42420[[#This Row],[Consumo Medidor]]*Tabla42420[[#This Row],[Valor Unitario]],2)</f>
        <v>200.25</v>
      </c>
      <c r="J16" s="17">
        <f>Tabla42420[[#This Row],[Total a Pagar]]/Tabla42420[[#This Row],[Importe Recibo]]</f>
        <v>0.42336152219873152</v>
      </c>
      <c r="K16">
        <v>2025</v>
      </c>
      <c r="L16" s="8" t="s">
        <v>1</v>
      </c>
      <c r="M16" s="1">
        <v>2192</v>
      </c>
      <c r="N16" s="1">
        <v>2133</v>
      </c>
      <c r="O16" s="4">
        <f>Tabla424621[[#This Row],[Lectura Medidor Actual]]-Tabla424621[[#This Row],[Lectura Medidor Anterior]]</f>
        <v>59</v>
      </c>
      <c r="P16" s="7">
        <f>Tabla_Agua[[#This Row],[Importe Recibo]]</f>
        <v>808.1</v>
      </c>
      <c r="Q16" s="1">
        <f>Tabla_Agua[[#This Row],[Consumo Recibo]]</f>
        <v>95</v>
      </c>
      <c r="R16" s="5">
        <f>ROUND(Tabla424621[[#This Row],[Importe Recibo]]/Tabla424621[[#This Row],[Consumo Recibo]],2)</f>
        <v>8.51</v>
      </c>
      <c r="S16" s="2">
        <f>ROUND(Tabla424621[[#This Row],[Consumo Medidor]]*Tabla424621[[#This Row],[Valor Unitario]],2)</f>
        <v>502.09</v>
      </c>
      <c r="T16" s="17">
        <f>Tabla424621[[#This Row],[Total a Pagar]]/Tabla424621[[#This Row],[Importe Recibo]]</f>
        <v>0.62132161861155788</v>
      </c>
      <c r="U16" s="2">
        <f>Tabla42420[[#This Row],[Total a Pagar]]</f>
        <v>200.25</v>
      </c>
      <c r="V16" s="2">
        <f>Tabla424621[[#This Row],[Total a Pagar]]</f>
        <v>502.09</v>
      </c>
      <c r="W16" s="2">
        <f>ROUND(Tabla_Lavanderia[[#This Row],[Total Luz]]+Tabla_Lavanderia[[#This Row],[Total Agua]],2)</f>
        <v>702.34</v>
      </c>
      <c r="X16" s="14"/>
    </row>
    <row r="17" spans="1:24" x14ac:dyDescent="0.25">
      <c r="A17">
        <v>2025</v>
      </c>
      <c r="B17" s="8" t="s">
        <v>2</v>
      </c>
      <c r="C17" s="1">
        <v>7918</v>
      </c>
      <c r="D17" s="1">
        <v>7763</v>
      </c>
      <c r="E17" s="4">
        <f>Tabla42420[[#This Row],[Lectura Medidor Actual]]-Tabla42420[[#This Row],[Lectura Medidor Anterior]]</f>
        <v>155</v>
      </c>
      <c r="F17" s="7">
        <f>Tabla_Luz[[#This Row],[Importe Recibo]]</f>
        <v>410</v>
      </c>
      <c r="G17" s="1">
        <f>Tabla_Luz[[#This Row],[Consumo Recibo]]</f>
        <v>479</v>
      </c>
      <c r="H17" s="5">
        <f>ROUND(Tabla42420[[#This Row],[Importe Recibo]]/Tabla42420[[#This Row],[Consumo Recibo]],2)</f>
        <v>0.86</v>
      </c>
      <c r="I17" s="2">
        <f>ROUND(Tabla42420[[#This Row],[Consumo Medidor]]*Tabla42420[[#This Row],[Valor Unitario]],2)</f>
        <v>133.30000000000001</v>
      </c>
      <c r="J17" s="17">
        <f>Tabla42420[[#This Row],[Total a Pagar]]/Tabla42420[[#This Row],[Importe Recibo]]</f>
        <v>0.32512195121951221</v>
      </c>
      <c r="K17">
        <v>2025</v>
      </c>
      <c r="L17" s="8" t="s">
        <v>2</v>
      </c>
      <c r="M17" s="1">
        <v>2225</v>
      </c>
      <c r="N17" s="1">
        <v>2192</v>
      </c>
      <c r="O17" s="4">
        <f>Tabla424621[[#This Row],[Lectura Medidor Actual]]-Tabla424621[[#This Row],[Lectura Medidor Anterior]]</f>
        <v>33</v>
      </c>
      <c r="P17" s="7">
        <f>Tabla_Agua[[#This Row],[Importe Recibo]]</f>
        <v>646.29999999999995</v>
      </c>
      <c r="Q17" s="1">
        <f>Tabla_Agua[[#This Row],[Consumo Recibo]]</f>
        <v>76</v>
      </c>
      <c r="R17" s="5">
        <f>ROUND(Tabla424621[[#This Row],[Importe Recibo]]/Tabla424621[[#This Row],[Consumo Recibo]],2)</f>
        <v>8.5</v>
      </c>
      <c r="S17" s="2">
        <f>ROUND(Tabla424621[[#This Row],[Consumo Medidor]]*Tabla424621[[#This Row],[Valor Unitario]],2)</f>
        <v>280.5</v>
      </c>
      <c r="T17" s="17">
        <f>Tabla424621[[#This Row],[Total a Pagar]]/Tabla424621[[#This Row],[Importe Recibo]]</f>
        <v>0.43400897416060658</v>
      </c>
      <c r="U17" s="2">
        <f>Tabla42420[[#This Row],[Total a Pagar]]</f>
        <v>133.30000000000001</v>
      </c>
      <c r="V17" s="2">
        <f>Tabla424621[[#This Row],[Total a Pagar]]</f>
        <v>280.5</v>
      </c>
      <c r="W17" s="2">
        <f>ROUND(Tabla_Lavanderia[[#This Row],[Total Luz]]+Tabla_Lavanderia[[#This Row],[Total Agua]],2)</f>
        <v>413.8</v>
      </c>
      <c r="X17" s="14"/>
    </row>
    <row r="18" spans="1:24" x14ac:dyDescent="0.25">
      <c r="A18">
        <v>2025</v>
      </c>
      <c r="B18" s="8" t="s">
        <v>3</v>
      </c>
      <c r="C18" s="1">
        <v>8103</v>
      </c>
      <c r="D18" s="1">
        <v>7968</v>
      </c>
      <c r="E18" s="4">
        <f>Tabla42420[[#This Row],[Lectura Medidor Actual]]-Tabla42420[[#This Row],[Lectura Medidor Anterior]]</f>
        <v>135</v>
      </c>
      <c r="F18" s="7">
        <f>Tabla_Luz[[#This Row],[Importe Recibo]]</f>
        <v>380.5</v>
      </c>
      <c r="G18" s="1">
        <f>Tabla_Luz[[#This Row],[Consumo Recibo]]</f>
        <v>449</v>
      </c>
      <c r="H18" s="5">
        <f>ROUND(Tabla42420[[#This Row],[Importe Recibo]]/Tabla42420[[#This Row],[Consumo Recibo]],2)</f>
        <v>0.85</v>
      </c>
      <c r="I18" s="2">
        <f>ROUND(Tabla42420[[#This Row],[Consumo Medidor]]*Tabla42420[[#This Row],[Valor Unitario]],2)</f>
        <v>114.75</v>
      </c>
      <c r="J18" s="17">
        <f>Tabla42420[[#This Row],[Total a Pagar]]/Tabla42420[[#This Row],[Importe Recibo]]</f>
        <v>0.30157687253613669</v>
      </c>
      <c r="K18">
        <v>2025</v>
      </c>
      <c r="L18" s="8" t="s">
        <v>3</v>
      </c>
      <c r="M18" s="1">
        <v>2268</v>
      </c>
      <c r="N18" s="1">
        <v>2225</v>
      </c>
      <c r="O18" s="4">
        <f>Tabla424621[[#This Row],[Lectura Medidor Actual]]-Tabla424621[[#This Row],[Lectura Medidor Anterior]]</f>
        <v>43</v>
      </c>
      <c r="P18" s="7">
        <f>Tabla_Agua[[#This Row],[Importe Recibo]]</f>
        <v>663.3</v>
      </c>
      <c r="Q18" s="1">
        <f>Tabla_Agua[[#This Row],[Consumo Recibo]]</f>
        <v>79</v>
      </c>
      <c r="R18" s="5">
        <f>ROUND(Tabla424621[[#This Row],[Importe Recibo]]/Tabla424621[[#This Row],[Consumo Recibo]],2)</f>
        <v>8.4</v>
      </c>
      <c r="S18" s="2">
        <f>ROUND(Tabla424621[[#This Row],[Consumo Medidor]]*Tabla424621[[#This Row],[Valor Unitario]],2)</f>
        <v>361.2</v>
      </c>
      <c r="T18" s="17">
        <f>Tabla424621[[#This Row],[Total a Pagar]]/Tabla424621[[#This Row],[Importe Recibo]]</f>
        <v>0.54454997738579836</v>
      </c>
      <c r="U18" s="2">
        <f>Tabla42420[[#This Row],[Total a Pagar]]</f>
        <v>114.75</v>
      </c>
      <c r="V18" s="2">
        <f>Tabla424621[[#This Row],[Total a Pagar]]</f>
        <v>361.2</v>
      </c>
      <c r="W18" s="2">
        <f>ROUND(Tabla_Lavanderia[[#This Row],[Total Luz]]+Tabla_Lavanderia[[#This Row],[Total Agua]],2)</f>
        <v>475.95</v>
      </c>
      <c r="X18" s="14"/>
    </row>
    <row r="19" spans="1:24" x14ac:dyDescent="0.25">
      <c r="A19">
        <v>2025</v>
      </c>
      <c r="B19" s="8" t="s">
        <v>4</v>
      </c>
      <c r="C19" s="1">
        <v>8269</v>
      </c>
      <c r="D19" s="1">
        <v>8103</v>
      </c>
      <c r="E19" s="4">
        <f>Tabla42420[[#This Row],[Lectura Medidor Actual]]-Tabla42420[[#This Row],[Lectura Medidor Anterior]]</f>
        <v>166</v>
      </c>
      <c r="F19" s="7">
        <f>Tabla_Luz[[#This Row],[Importe Recibo]]</f>
        <v>411</v>
      </c>
      <c r="G19" s="1">
        <f>Tabla_Luz[[#This Row],[Consumo Recibo]]</f>
        <v>490</v>
      </c>
      <c r="H19" s="5">
        <f>ROUND(Tabla42420[[#This Row],[Importe Recibo]]/Tabla42420[[#This Row],[Consumo Recibo]],2)</f>
        <v>0.84</v>
      </c>
      <c r="I19" s="2">
        <f>ROUND(Tabla42420[[#This Row],[Consumo Medidor]]*Tabla42420[[#This Row],[Valor Unitario]],2)</f>
        <v>139.44</v>
      </c>
      <c r="J19" s="17">
        <f>Tabla42420[[#This Row],[Total a Pagar]]/Tabla42420[[#This Row],[Importe Recibo]]</f>
        <v>0.33927007299270073</v>
      </c>
      <c r="K19">
        <v>2025</v>
      </c>
      <c r="L19" s="8" t="s">
        <v>4</v>
      </c>
      <c r="M19" s="1">
        <v>2300</v>
      </c>
      <c r="N19" s="1">
        <v>2268</v>
      </c>
      <c r="O19" s="4">
        <f>Tabla424621[[#This Row],[Lectura Medidor Actual]]-Tabla424621[[#This Row],[Lectura Medidor Anterior]]</f>
        <v>32</v>
      </c>
      <c r="P19" s="7">
        <f>Tabla_Agua[[#This Row],[Importe Recibo]]</f>
        <v>576</v>
      </c>
      <c r="Q19" s="1">
        <f>Tabla_Agua[[#This Row],[Consumo Recibo]]</f>
        <v>68</v>
      </c>
      <c r="R19" s="5">
        <f>ROUND(Tabla424621[[#This Row],[Importe Recibo]]/Tabla424621[[#This Row],[Consumo Recibo]],2)</f>
        <v>8.4700000000000006</v>
      </c>
      <c r="S19" s="2">
        <f>ROUND(Tabla424621[[#This Row],[Consumo Medidor]]*Tabla424621[[#This Row],[Valor Unitario]],2)</f>
        <v>271.04000000000002</v>
      </c>
      <c r="T19" s="17">
        <f>Tabla424621[[#This Row],[Total a Pagar]]/Tabla424621[[#This Row],[Importe Recibo]]</f>
        <v>0.47055555555555562</v>
      </c>
      <c r="U19" s="2">
        <f>Tabla42420[[#This Row],[Total a Pagar]]</f>
        <v>139.44</v>
      </c>
      <c r="V19" s="2">
        <f>Tabla424621[[#This Row],[Total a Pagar]]</f>
        <v>271.04000000000002</v>
      </c>
      <c r="W19" s="2">
        <f>ROUND(Tabla_Lavanderia[[#This Row],[Total Luz]]+Tabla_Lavanderia[[#This Row],[Total Agua]],2)</f>
        <v>410.48</v>
      </c>
      <c r="X19" s="14"/>
    </row>
    <row r="20" spans="1:24" x14ac:dyDescent="0.25">
      <c r="A20">
        <v>2025</v>
      </c>
      <c r="B20" s="8" t="s">
        <v>5</v>
      </c>
      <c r="C20" s="1">
        <v>8480</v>
      </c>
      <c r="D20" s="1">
        <v>8269</v>
      </c>
      <c r="E20" s="4">
        <f>Tabla42420[[#This Row],[Lectura Medidor Actual]]-Tabla42420[[#This Row],[Lectura Medidor Anterior]]</f>
        <v>211</v>
      </c>
      <c r="F20" s="7">
        <f>Tabla_Luz[[#This Row],[Importe Recibo]]</f>
        <v>411.59</v>
      </c>
      <c r="G20" s="1">
        <f>Tabla_Luz[[#This Row],[Consumo Recibo]]</f>
        <v>493</v>
      </c>
      <c r="H20" s="5">
        <f>ROUND(Tabla42420[[#This Row],[Importe Recibo]]/Tabla42420[[#This Row],[Consumo Recibo]],2)</f>
        <v>0.83</v>
      </c>
      <c r="I20" s="2">
        <f>ROUND(Tabla42420[[#This Row],[Consumo Medidor]]*Tabla42420[[#This Row],[Valor Unitario]],2)</f>
        <v>175.13</v>
      </c>
      <c r="J20" s="17">
        <f>Tabla42420[[#This Row],[Total a Pagar]]/Tabla42420[[#This Row],[Importe Recibo]]</f>
        <v>0.42549624626448651</v>
      </c>
      <c r="K20">
        <v>2025</v>
      </c>
      <c r="L20" s="8" t="s">
        <v>5</v>
      </c>
      <c r="M20" s="1">
        <v>2342</v>
      </c>
      <c r="N20" s="1">
        <v>2300</v>
      </c>
      <c r="O20" s="4">
        <f>Tabla424621[[#This Row],[Lectura Medidor Actual]]-Tabla424621[[#This Row],[Lectura Medidor Anterior]]</f>
        <v>42</v>
      </c>
      <c r="P20" s="7">
        <f>Tabla_Agua[[#This Row],[Importe Recibo]]</f>
        <v>609.20000000000005</v>
      </c>
      <c r="Q20" s="1">
        <f>Tabla_Agua[[#This Row],[Consumo Recibo]]</f>
        <v>72</v>
      </c>
      <c r="R20" s="5">
        <f>ROUND(Tabla424621[[#This Row],[Importe Recibo]]/Tabla424621[[#This Row],[Consumo Recibo]],2)</f>
        <v>8.4600000000000009</v>
      </c>
      <c r="S20" s="2">
        <f>ROUND(Tabla424621[[#This Row],[Consumo Medidor]]*Tabla424621[[#This Row],[Valor Unitario]],2)</f>
        <v>355.32</v>
      </c>
      <c r="T20" s="17">
        <f>Tabla424621[[#This Row],[Total a Pagar]]/Tabla424621[[#This Row],[Importe Recibo]]</f>
        <v>0.5832567301378857</v>
      </c>
      <c r="U20" s="2">
        <f>Tabla42420[[#This Row],[Total a Pagar]]</f>
        <v>175.13</v>
      </c>
      <c r="V20" s="2">
        <f>Tabla424621[[#This Row],[Total a Pagar]]</f>
        <v>355.32</v>
      </c>
      <c r="W20" s="2">
        <f>ROUND(Tabla_Lavanderia[[#This Row],[Total Luz]]+Tabla_Lavanderia[[#This Row],[Total Agua]],2)</f>
        <v>530.45000000000005</v>
      </c>
      <c r="X20" s="14"/>
    </row>
    <row r="21" spans="1:24" x14ac:dyDescent="0.25">
      <c r="A21">
        <v>2025</v>
      </c>
      <c r="B21" s="8" t="s">
        <v>6</v>
      </c>
      <c r="C21" s="1">
        <v>8857</v>
      </c>
      <c r="D21" s="1">
        <v>8480</v>
      </c>
      <c r="E21" s="4">
        <f>Tabla42420[[#This Row],[Lectura Medidor Actual]]-Tabla42420[[#This Row],[Lectura Medidor Anterior]]</f>
        <v>377</v>
      </c>
      <c r="F21" s="7">
        <f>Tabla_Luz[[#This Row],[Importe Recibo]]</f>
        <v>479.41</v>
      </c>
      <c r="G21" s="1">
        <f>Tabla_Luz[[#This Row],[Consumo Recibo]]</f>
        <v>553</v>
      </c>
      <c r="H21" s="5">
        <f>ROUND(Tabla42420[[#This Row],[Importe Recibo]]/Tabla42420[[#This Row],[Consumo Recibo]],2)</f>
        <v>0.87</v>
      </c>
      <c r="I21" s="2">
        <f>ROUND(Tabla42420[[#This Row],[Consumo Medidor]]*Tabla42420[[#This Row],[Valor Unitario]],2)</f>
        <v>327.99</v>
      </c>
      <c r="J21" s="17">
        <f>Tabla42420[[#This Row],[Total a Pagar]]/Tabla42420[[#This Row],[Importe Recibo]]</f>
        <v>0.68415343860161448</v>
      </c>
      <c r="K21">
        <v>2025</v>
      </c>
      <c r="L21" s="8" t="s">
        <v>6</v>
      </c>
      <c r="M21" s="1">
        <v>2415</v>
      </c>
      <c r="N21" s="1">
        <v>2342</v>
      </c>
      <c r="O21" s="4">
        <f>Tabla424621[[#This Row],[Lectura Medidor Actual]]-Tabla424621[[#This Row],[Lectura Medidor Anterior]]</f>
        <v>73</v>
      </c>
      <c r="P21" s="7">
        <f>Tabla_Agua[[#This Row],[Importe Recibo]]</f>
        <v>732.5</v>
      </c>
      <c r="Q21" s="1">
        <f>Tabla_Agua[[#This Row],[Consumo Recibo]]</f>
        <v>86</v>
      </c>
      <c r="R21" s="5">
        <f>ROUND(Tabla424621[[#This Row],[Importe Recibo]]/Tabla424621[[#This Row],[Consumo Recibo]],2)</f>
        <v>8.52</v>
      </c>
      <c r="S21" s="2">
        <f>ROUND(Tabla424621[[#This Row],[Consumo Medidor]]*Tabla424621[[#This Row],[Valor Unitario]],2)</f>
        <v>621.96</v>
      </c>
      <c r="T21" s="17">
        <f>Tabla424621[[#This Row],[Total a Pagar]]/Tabla424621[[#This Row],[Importe Recibo]]</f>
        <v>0.84909215017064854</v>
      </c>
      <c r="U21" s="2">
        <f>Tabla42420[[#This Row],[Total a Pagar]]</f>
        <v>327.99</v>
      </c>
      <c r="V21" s="2">
        <f>Tabla424621[[#This Row],[Total a Pagar]]</f>
        <v>621.96</v>
      </c>
      <c r="W21" s="2">
        <f>ROUND(Tabla_Lavanderia[[#This Row],[Total Luz]]+Tabla_Lavanderia[[#This Row],[Total Agua]],2)</f>
        <v>949.95</v>
      </c>
      <c r="X21" s="14"/>
    </row>
    <row r="22" spans="1:24" x14ac:dyDescent="0.25">
      <c r="A22">
        <v>2025</v>
      </c>
      <c r="B22" s="8" t="s">
        <v>7</v>
      </c>
      <c r="C22" s="1">
        <v>9260</v>
      </c>
      <c r="D22" s="1">
        <v>8857</v>
      </c>
      <c r="E22" s="4">
        <f>Tabla42420[[#This Row],[Lectura Medidor Actual]]-Tabla42420[[#This Row],[Lectura Medidor Anterior]]</f>
        <v>403</v>
      </c>
      <c r="F22" s="7">
        <f>Tabla_Luz[[#This Row],[Importe Recibo]]</f>
        <v>538.86</v>
      </c>
      <c r="G22" s="1">
        <f>Tabla_Luz[[#This Row],[Consumo Recibo]]</f>
        <v>632</v>
      </c>
      <c r="H22" s="5">
        <f>ROUND(Tabla42420[[#This Row],[Importe Recibo]]/Tabla42420[[#This Row],[Consumo Recibo]],2)</f>
        <v>0.85</v>
      </c>
      <c r="I22" s="2">
        <f>ROUND(Tabla42420[[#This Row],[Consumo Medidor]]*Tabla42420[[#This Row],[Valor Unitario]],2)</f>
        <v>342.55</v>
      </c>
      <c r="J22" s="17">
        <f>Tabla42420[[#This Row],[Total a Pagar]]/Tabla42420[[#This Row],[Importe Recibo]]</f>
        <v>0.63569387224882157</v>
      </c>
      <c r="K22">
        <v>2025</v>
      </c>
      <c r="L22" s="8" t="s">
        <v>7</v>
      </c>
      <c r="M22" s="1">
        <v>2492</v>
      </c>
      <c r="N22" s="1">
        <v>2415</v>
      </c>
      <c r="O22" s="4">
        <f>Tabla424621[[#This Row],[Lectura Medidor Actual]]-Tabla424621[[#This Row],[Lectura Medidor Anterior]]</f>
        <v>77</v>
      </c>
      <c r="P22" s="7">
        <f>Tabla_Agua[[#This Row],[Importe Recibo]]</f>
        <v>903.6</v>
      </c>
      <c r="Q22" s="1">
        <f>Tabla_Agua[[#This Row],[Consumo Recibo]]</f>
        <v>105</v>
      </c>
      <c r="R22" s="5">
        <f>ROUND(Tabla424621[[#This Row],[Importe Recibo]]/Tabla424621[[#This Row],[Consumo Recibo]],2)</f>
        <v>8.61</v>
      </c>
      <c r="S22" s="2">
        <f>ROUND(Tabla424621[[#This Row],[Consumo Medidor]]*Tabla424621[[#This Row],[Valor Unitario]],2)</f>
        <v>662.97</v>
      </c>
      <c r="T22" s="17">
        <f>Tabla424621[[#This Row],[Total a Pagar]]/Tabla424621[[#This Row],[Importe Recibo]]</f>
        <v>0.73369853917662686</v>
      </c>
      <c r="U22" s="2">
        <f>Tabla42420[[#This Row],[Total a Pagar]]</f>
        <v>342.55</v>
      </c>
      <c r="V22" s="2">
        <f>Tabla424621[[#This Row],[Total a Pagar]]</f>
        <v>662.97</v>
      </c>
      <c r="W22" s="2">
        <f>ROUND(Tabla_Lavanderia[[#This Row],[Total Luz]]+Tabla_Lavanderia[[#This Row],[Total Agua]],2)</f>
        <v>1005.52</v>
      </c>
      <c r="X22" s="14"/>
    </row>
    <row r="23" spans="1:24" x14ac:dyDescent="0.25">
      <c r="A23">
        <v>2025</v>
      </c>
      <c r="B23" s="8" t="s">
        <v>8</v>
      </c>
      <c r="C23" s="1">
        <v>9585</v>
      </c>
      <c r="D23" s="1">
        <v>9260</v>
      </c>
      <c r="E23" s="4">
        <f>Tabla42420[[#This Row],[Lectura Medidor Actual]]-Tabla42420[[#This Row],[Lectura Medidor Anterior]]</f>
        <v>325</v>
      </c>
      <c r="F23" s="7">
        <f>Tabla_Luz[[#This Row],[Importe Recibo]]</f>
        <v>614.91</v>
      </c>
      <c r="G23" s="1">
        <f>Tabla_Luz[[#This Row],[Consumo Recibo]]</f>
        <v>714</v>
      </c>
      <c r="H23" s="5">
        <f>ROUND(Tabla42420[[#This Row],[Importe Recibo]]/Tabla42420[[#This Row],[Consumo Recibo]],2)</f>
        <v>0.86</v>
      </c>
      <c r="I23" s="2">
        <f>ROUND(Tabla42420[[#This Row],[Consumo Medidor]]*Tabla42420[[#This Row],[Valor Unitario]],2)</f>
        <v>279.5</v>
      </c>
      <c r="J23" s="17">
        <f>Tabla42420[[#This Row],[Total a Pagar]]/Tabla42420[[#This Row],[Importe Recibo]]</f>
        <v>0.45453806248068823</v>
      </c>
      <c r="K23">
        <v>2025</v>
      </c>
      <c r="L23" s="8" t="s">
        <v>8</v>
      </c>
      <c r="M23" s="1">
        <v>2550</v>
      </c>
      <c r="N23" s="1">
        <v>2492</v>
      </c>
      <c r="O23" s="4">
        <f>Tabla424621[[#This Row],[Lectura Medidor Actual]]-Tabla424621[[#This Row],[Lectura Medidor Anterior]]</f>
        <v>58</v>
      </c>
      <c r="P23" s="7">
        <f>Tabla_Agua[[#This Row],[Importe Recibo]]</f>
        <v>551.6</v>
      </c>
      <c r="Q23" s="1">
        <f>Tabla_Agua[[#This Row],[Consumo Recibo]]</f>
        <v>65</v>
      </c>
      <c r="R23" s="5">
        <f>ROUND(Tabla424621[[#This Row],[Importe Recibo]]/Tabla424621[[#This Row],[Consumo Recibo]],2)</f>
        <v>8.49</v>
      </c>
      <c r="S23" s="2">
        <f>ROUND(Tabla424621[[#This Row],[Consumo Medidor]]*Tabla424621[[#This Row],[Valor Unitario]],2)</f>
        <v>492.42</v>
      </c>
      <c r="T23" s="17">
        <f>Tabla424621[[#This Row],[Total a Pagar]]/Tabla424621[[#This Row],[Importe Recibo]]</f>
        <v>0.89271211022480057</v>
      </c>
      <c r="U23" s="2">
        <f>Tabla42420[[#This Row],[Total a Pagar]]</f>
        <v>279.5</v>
      </c>
      <c r="V23" s="2">
        <f>Tabla424621[[#This Row],[Total a Pagar]]</f>
        <v>492.42</v>
      </c>
      <c r="W23" s="2">
        <f>ROUND(Tabla_Lavanderia[[#This Row],[Total Luz]]+Tabla_Lavanderia[[#This Row],[Total Agua]],2)</f>
        <v>771.92</v>
      </c>
      <c r="X23" s="14"/>
    </row>
    <row r="24" spans="1:24" x14ac:dyDescent="0.25">
      <c r="A24">
        <v>2025</v>
      </c>
      <c r="B24" s="8" t="s">
        <v>9</v>
      </c>
      <c r="C24" s="1">
        <v>9933</v>
      </c>
      <c r="D24" s="1">
        <v>9585</v>
      </c>
      <c r="E24" s="4">
        <f>Tabla42420[[#This Row],[Lectura Medidor Actual]]-Tabla42420[[#This Row],[Lectura Medidor Anterior]]</f>
        <v>348</v>
      </c>
      <c r="F24" s="7">
        <f>Tabla_Luz[[#This Row],[Importe Recibo]]</f>
        <v>549</v>
      </c>
      <c r="G24" s="1">
        <f>Tabla_Luz[[#This Row],[Consumo Recibo]]</f>
        <v>650</v>
      </c>
      <c r="H24" s="5">
        <f>ROUND(Tabla42420[[#This Row],[Importe Recibo]]/Tabla42420[[#This Row],[Consumo Recibo]],2)</f>
        <v>0.84</v>
      </c>
      <c r="I24" s="2">
        <f>ROUND(Tabla42420[[#This Row],[Consumo Medidor]]*Tabla42420[[#This Row],[Valor Unitario]],2)</f>
        <v>292.32</v>
      </c>
      <c r="J24" s="17">
        <f>Tabla42420[[#This Row],[Total a Pagar]]/Tabla42420[[#This Row],[Importe Recibo]]</f>
        <v>0.53245901639344262</v>
      </c>
      <c r="K24">
        <v>2025</v>
      </c>
      <c r="L24" s="8" t="s">
        <v>9</v>
      </c>
      <c r="M24" s="1">
        <v>2616</v>
      </c>
      <c r="N24" s="1">
        <v>2550</v>
      </c>
      <c r="O24" s="4">
        <f>Tabla424621[[#This Row],[Lectura Medidor Actual]]-Tabla424621[[#This Row],[Lectura Medidor Anterior]]</f>
        <v>66</v>
      </c>
      <c r="P24" s="7">
        <f>Tabla_Agua[[#This Row],[Importe Recibo]]</f>
        <v>1136.9000000000001</v>
      </c>
      <c r="Q24" s="1">
        <f>Tabla_Agua[[#This Row],[Consumo Recibo]]</f>
        <v>130</v>
      </c>
      <c r="R24" s="5">
        <f>ROUND(Tabla424621[[#This Row],[Importe Recibo]]/Tabla424621[[#This Row],[Consumo Recibo]],2)</f>
        <v>8.75</v>
      </c>
      <c r="S24" s="2">
        <f>ROUND(Tabla424621[[#This Row],[Consumo Medidor]]*Tabla424621[[#This Row],[Valor Unitario]],2)</f>
        <v>577.5</v>
      </c>
      <c r="T24" s="17">
        <f>Tabla424621[[#This Row],[Total a Pagar]]/Tabla424621[[#This Row],[Importe Recibo]]</f>
        <v>0.50796024276541474</v>
      </c>
      <c r="U24" s="2">
        <f>Tabla42420[[#This Row],[Total a Pagar]]</f>
        <v>292.32</v>
      </c>
      <c r="V24" s="2">
        <f>Tabla424621[[#This Row],[Total a Pagar]]</f>
        <v>577.5</v>
      </c>
      <c r="W24" s="2">
        <f>ROUND(Tabla_Lavanderia[[#This Row],[Total Luz]]+Tabla_Lavanderia[[#This Row],[Total Agua]],2)</f>
        <v>869.82</v>
      </c>
      <c r="X24" s="14"/>
    </row>
    <row r="25" spans="1:24" x14ac:dyDescent="0.25">
      <c r="A25">
        <v>2025</v>
      </c>
      <c r="B25" s="8" t="s">
        <v>32</v>
      </c>
      <c r="C25" s="1">
        <v>10209</v>
      </c>
      <c r="D25" s="1">
        <v>9933</v>
      </c>
      <c r="E25" s="4">
        <f>Tabla42420[[#This Row],[Lectura Medidor Actual]]-Tabla42420[[#This Row],[Lectura Medidor Anterior]]</f>
        <v>276</v>
      </c>
      <c r="F25" s="7">
        <f>Tabla_Luz[[#This Row],[Importe Recibo]]</f>
        <v>500</v>
      </c>
      <c r="G25" s="1">
        <f>Tabla_Luz[[#This Row],[Consumo Recibo]]</f>
        <v>595</v>
      </c>
      <c r="H25" s="5">
        <f>ROUND(Tabla42420[[#This Row],[Importe Recibo]]/Tabla42420[[#This Row],[Consumo Recibo]],2)</f>
        <v>0.84</v>
      </c>
      <c r="I25" s="2">
        <f>ROUND(Tabla42420[[#This Row],[Consumo Medidor]]*Tabla42420[[#This Row],[Valor Unitario]],2)</f>
        <v>231.84</v>
      </c>
      <c r="J25" s="17">
        <f>Tabla42420[[#This Row],[Total a Pagar]]/Tabla42420[[#This Row],[Importe Recibo]]</f>
        <v>0.46367999999999998</v>
      </c>
      <c r="K25">
        <v>2025</v>
      </c>
      <c r="L25" s="8" t="s">
        <v>32</v>
      </c>
      <c r="M25" s="1">
        <v>2675</v>
      </c>
      <c r="N25" s="1">
        <v>2616</v>
      </c>
      <c r="O25" s="4">
        <f>Tabla424621[[#This Row],[Lectura Medidor Actual]]-Tabla424621[[#This Row],[Lectura Medidor Anterior]]</f>
        <v>59</v>
      </c>
      <c r="P25" s="7">
        <f>Tabla_Agua[[#This Row],[Importe Recibo]]</f>
        <v>715.3</v>
      </c>
      <c r="Q25" s="1">
        <f>Tabla_Agua[[#This Row],[Consumo Recibo]]</f>
        <v>84</v>
      </c>
      <c r="R25" s="5">
        <f>ROUND(Tabla424621[[#This Row],[Importe Recibo]]/Tabla424621[[#This Row],[Consumo Recibo]],2)</f>
        <v>8.52</v>
      </c>
      <c r="S25" s="2">
        <f>ROUND(Tabla424621[[#This Row],[Consumo Medidor]]*Tabla424621[[#This Row],[Valor Unitario]],2)</f>
        <v>502.68</v>
      </c>
      <c r="T25" s="17">
        <f>Tabla424621[[#This Row],[Total a Pagar]]/Tabla424621[[#This Row],[Importe Recibo]]</f>
        <v>0.70275408919334548</v>
      </c>
      <c r="U25" s="2">
        <f>Tabla42420[[#This Row],[Total a Pagar]]</f>
        <v>231.84</v>
      </c>
      <c r="V25" s="2">
        <f>Tabla424621[[#This Row],[Total a Pagar]]</f>
        <v>502.68</v>
      </c>
      <c r="W25" s="2">
        <f>ROUND(Tabla_Lavanderia[[#This Row],[Total Luz]]+Tabla_Lavanderia[[#This Row],[Total Agua]],2)</f>
        <v>734.52</v>
      </c>
      <c r="X25" s="14"/>
    </row>
    <row r="26" spans="1:24" x14ac:dyDescent="0.25">
      <c r="A26">
        <v>2025</v>
      </c>
      <c r="B26" s="8" t="s">
        <v>34</v>
      </c>
      <c r="C26" s="1">
        <v>10407</v>
      </c>
      <c r="D26" s="1">
        <v>10209</v>
      </c>
      <c r="E26" s="4">
        <f>Tabla42420[[#This Row],[Lectura Medidor Actual]]-Tabla42420[[#This Row],[Lectura Medidor Anterior]]</f>
        <v>198</v>
      </c>
      <c r="F26" s="7">
        <f>Tabla_Luz[[#This Row],[Importe Recibo]]</f>
        <v>449.5</v>
      </c>
      <c r="G26" s="1">
        <f>Tabla_Luz[[#This Row],[Consumo Recibo]]</f>
        <v>542</v>
      </c>
      <c r="H26" s="5">
        <f>ROUND(Tabla42420[[#This Row],[Importe Recibo]]/Tabla42420[[#This Row],[Consumo Recibo]],2)</f>
        <v>0.83</v>
      </c>
      <c r="I26" s="2">
        <f>ROUND(Tabla42420[[#This Row],[Consumo Medidor]]*Tabla42420[[#This Row],[Valor Unitario]],2)</f>
        <v>164.34</v>
      </c>
      <c r="J26" s="17">
        <f>Tabla42420[[#This Row],[Total a Pagar]]/Tabla42420[[#This Row],[Importe Recibo]]</f>
        <v>0.36560622914349278</v>
      </c>
      <c r="K26">
        <v>2025</v>
      </c>
      <c r="L26" s="8" t="s">
        <v>34</v>
      </c>
      <c r="M26" s="1">
        <v>2717</v>
      </c>
      <c r="N26" s="1">
        <v>2675</v>
      </c>
      <c r="O26" s="4">
        <f>Tabla424621[[#This Row],[Lectura Medidor Actual]]-Tabla424621[[#This Row],[Lectura Medidor Anterior]]</f>
        <v>42</v>
      </c>
      <c r="P26" s="7">
        <f>Tabla_Agua[[#This Row],[Importe Recibo]]</f>
        <v>981</v>
      </c>
      <c r="Q26" s="1">
        <f>Tabla_Agua[[#This Row],[Consumo Recibo]]</f>
        <v>114</v>
      </c>
      <c r="R26" s="5">
        <f>ROUND(Tabla424621[[#This Row],[Importe Recibo]]/Tabla424621[[#This Row],[Consumo Recibo]],2)</f>
        <v>8.61</v>
      </c>
      <c r="S26" s="2">
        <f>ROUND(Tabla424621[[#This Row],[Consumo Medidor]]*Tabla424621[[#This Row],[Valor Unitario]],2)</f>
        <v>361.62</v>
      </c>
      <c r="T26" s="17">
        <f>Tabla424621[[#This Row],[Total a Pagar]]/Tabla424621[[#This Row],[Importe Recibo]]</f>
        <v>0.36862385321100916</v>
      </c>
      <c r="U26" s="2">
        <f>Tabla42420[[#This Row],[Total a Pagar]]</f>
        <v>164.34</v>
      </c>
      <c r="V26" s="2">
        <f>Tabla424621[[#This Row],[Total a Pagar]]</f>
        <v>361.62</v>
      </c>
      <c r="W26" s="2">
        <f>ROUND(Tabla_Lavanderia[[#This Row],[Total Luz]]+Tabla_Lavanderia[[#This Row],[Total Agua]],2)</f>
        <v>525.96</v>
      </c>
      <c r="X26" s="14" t="s">
        <v>45</v>
      </c>
    </row>
    <row r="27" spans="1:24" x14ac:dyDescent="0.25">
      <c r="A27">
        <v>2025</v>
      </c>
      <c r="B27" s="8" t="s">
        <v>35</v>
      </c>
      <c r="C27" s="1">
        <v>10719</v>
      </c>
      <c r="D27" s="1">
        <v>10407</v>
      </c>
      <c r="E27" s="4">
        <f>Tabla42420[[#This Row],[Lectura Medidor Actual]]-Tabla42420[[#This Row],[Lectura Medidor Anterior]]</f>
        <v>312</v>
      </c>
      <c r="F27" s="7">
        <f>Tabla_Luz[[#This Row],[Importe Recibo]]</f>
        <v>414</v>
      </c>
      <c r="G27" s="1">
        <f>Tabla_Luz[[#This Row],[Consumo Recibo]]</f>
        <v>513</v>
      </c>
      <c r="H27" s="5">
        <f>ROUND(Tabla42420[[#This Row],[Importe Recibo]]/Tabla42420[[#This Row],[Consumo Recibo]],2)</f>
        <v>0.81</v>
      </c>
      <c r="I27" s="2">
        <f>ROUND(Tabla42420[[#This Row],[Consumo Medidor]]*Tabla42420[[#This Row],[Valor Unitario]],2)</f>
        <v>252.72</v>
      </c>
      <c r="J27" s="17">
        <f>Tabla42420[[#This Row],[Total a Pagar]]/Tabla42420[[#This Row],[Importe Recibo]]</f>
        <v>0.61043478260869566</v>
      </c>
      <c r="K27">
        <v>2025</v>
      </c>
      <c r="L27" s="8" t="s">
        <v>35</v>
      </c>
      <c r="M27" s="1">
        <v>2776</v>
      </c>
      <c r="N27" s="1">
        <v>2717</v>
      </c>
      <c r="O27" s="4">
        <f>Tabla424621[[#This Row],[Lectura Medidor Actual]]-Tabla424621[[#This Row],[Lectura Medidor Anterior]]</f>
        <v>59</v>
      </c>
      <c r="P27" s="7">
        <f>Tabla_Agua[[#This Row],[Importe Recibo]]</f>
        <v>745.1</v>
      </c>
      <c r="Q27" s="1">
        <f>Tabla_Agua[[#This Row],[Consumo Recibo]]</f>
        <v>88</v>
      </c>
      <c r="R27" s="5">
        <f>ROUND(Tabla424621[[#This Row],[Importe Recibo]]/Tabla424621[[#This Row],[Consumo Recibo]],2)</f>
        <v>8.4700000000000006</v>
      </c>
      <c r="S27" s="2">
        <f>ROUND(Tabla424621[[#This Row],[Consumo Medidor]]*Tabla424621[[#This Row],[Valor Unitario]],2)</f>
        <v>499.73</v>
      </c>
      <c r="T27" s="17">
        <f>Tabla424621[[#This Row],[Total a Pagar]]/Tabla424621[[#This Row],[Importe Recibo]]</f>
        <v>0.67068849818816267</v>
      </c>
      <c r="U27" s="2">
        <f>Tabla42420[[#This Row],[Total a Pagar]]</f>
        <v>252.72</v>
      </c>
      <c r="V27" s="2">
        <f>Tabla424621[[#This Row],[Total a Pagar]]</f>
        <v>499.73</v>
      </c>
      <c r="W27" s="2">
        <f>ROUND(Tabla_Lavanderia[[#This Row],[Total Luz]]+Tabla_Lavanderia[[#This Row],[Total Agua]],2)</f>
        <v>752.45</v>
      </c>
      <c r="X27" s="14"/>
    </row>
    <row r="28" spans="1:24" x14ac:dyDescent="0.25">
      <c r="A28">
        <v>2026</v>
      </c>
      <c r="B28" s="8" t="s">
        <v>1</v>
      </c>
      <c r="C28" s="1">
        <v>10992</v>
      </c>
      <c r="D28" s="1">
        <v>10719</v>
      </c>
      <c r="E28" s="4">
        <f>Tabla42420[[#This Row],[Lectura Medidor Actual]]-Tabla42420[[#This Row],[Lectura Medidor Anterior]]</f>
        <v>273</v>
      </c>
      <c r="F28" s="7">
        <f>Tabla_Luz[[#This Row],[Importe Recibo]]</f>
        <v>475</v>
      </c>
      <c r="G28" s="1">
        <f>Tabla_Luz[[#This Row],[Consumo Recibo]]</f>
        <v>584</v>
      </c>
      <c r="H28" s="5">
        <f>ROUND(Tabla42420[[#This Row],[Importe Recibo]]/Tabla42420[[#This Row],[Consumo Recibo]],2)</f>
        <v>0.81</v>
      </c>
      <c r="I28" s="2">
        <f>ROUND(Tabla42420[[#This Row],[Consumo Medidor]]*Tabla42420[[#This Row],[Valor Unitario]],2)</f>
        <v>221.13</v>
      </c>
      <c r="J28" s="17">
        <f>Tabla42420[[#This Row],[Total a Pagar]]/Tabla42420[[#This Row],[Importe Recibo]]</f>
        <v>0.46553684210526314</v>
      </c>
      <c r="K28">
        <v>2026</v>
      </c>
      <c r="L28" s="8" t="s">
        <v>1</v>
      </c>
      <c r="M28" s="1">
        <v>2824</v>
      </c>
      <c r="N28" s="1">
        <v>2776</v>
      </c>
      <c r="O28" s="4">
        <f>Tabla424621[[#This Row],[Lectura Medidor Actual]]-Tabla424621[[#This Row],[Lectura Medidor Anterior]]</f>
        <v>48</v>
      </c>
      <c r="P28" s="7">
        <f>Tabla_Agua[[#This Row],[Importe Recibo]]</f>
        <v>773.6</v>
      </c>
      <c r="Q28" s="1">
        <f>Tabla_Agua[[#This Row],[Consumo Recibo]]</f>
        <v>91</v>
      </c>
      <c r="R28" s="5">
        <f>ROUND(Tabla424621[[#This Row],[Importe Recibo]]/Tabla424621[[#This Row],[Consumo Recibo]],2)</f>
        <v>8.5</v>
      </c>
      <c r="S28" s="2">
        <f>ROUND(Tabla424621[[#This Row],[Consumo Medidor]]*Tabla424621[[#This Row],[Valor Unitario]],2)</f>
        <v>408</v>
      </c>
      <c r="T28" s="17">
        <f>Tabla424621[[#This Row],[Total a Pagar]]/Tabla424621[[#This Row],[Importe Recibo]]</f>
        <v>0.52740434332988628</v>
      </c>
      <c r="U28" s="2">
        <f>Tabla42420[[#This Row],[Total a Pagar]]</f>
        <v>221.13</v>
      </c>
      <c r="V28" s="2">
        <f>Tabla424621[[#This Row],[Total a Pagar]]</f>
        <v>408</v>
      </c>
      <c r="W28" s="2">
        <f>ROUND(Tabla_Lavanderia[[#This Row],[Total Luz]]+Tabla_Lavanderia[[#This Row],[Total Agua]],2)</f>
        <v>629.13</v>
      </c>
      <c r="X28" s="14" t="s">
        <v>46</v>
      </c>
    </row>
  </sheetData>
  <mergeCells count="10">
    <mergeCell ref="U1:X1"/>
    <mergeCell ref="U2:X2"/>
    <mergeCell ref="A1:I1"/>
    <mergeCell ref="K1:S1"/>
    <mergeCell ref="A2:B2"/>
    <mergeCell ref="C2:E2"/>
    <mergeCell ref="F2:H2"/>
    <mergeCell ref="K2:L2"/>
    <mergeCell ref="M2:O2"/>
    <mergeCell ref="P2:R2"/>
  </mergeCells>
  <phoneticPr fontId="4" type="noConversion"/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802A4-B4AA-4BB4-9200-954329DEBBCD}">
  <sheetPr codeName="Hoja3"/>
  <dimension ref="A1:X28"/>
  <sheetViews>
    <sheetView topLeftCell="K1" zoomScaleNormal="100" workbookViewId="0">
      <selection activeCell="O29" sqref="O29"/>
    </sheetView>
  </sheetViews>
  <sheetFormatPr baseColWidth="10" defaultRowHeight="15" x14ac:dyDescent="0.25"/>
  <cols>
    <col min="1" max="1" width="6.85546875" bestFit="1" customWidth="1"/>
    <col min="2" max="2" width="11" bestFit="1" customWidth="1"/>
    <col min="3" max="3" width="24.140625" bestFit="1" customWidth="1"/>
    <col min="4" max="4" width="26" bestFit="1" customWidth="1"/>
    <col min="5" max="5" width="19.85546875" bestFit="1" customWidth="1"/>
    <col min="6" max="6" width="16.85546875" bestFit="1" customWidth="1"/>
    <col min="7" max="7" width="18" bestFit="1" customWidth="1"/>
    <col min="8" max="8" width="15.7109375" bestFit="1" customWidth="1"/>
    <col min="9" max="9" width="14.42578125" bestFit="1" customWidth="1"/>
    <col min="10" max="10" width="20.42578125" bestFit="1" customWidth="1"/>
    <col min="11" max="11" width="6.85546875" bestFit="1" customWidth="1"/>
    <col min="12" max="12" width="11" bestFit="1" customWidth="1"/>
    <col min="13" max="13" width="24.140625" bestFit="1" customWidth="1"/>
    <col min="14" max="14" width="26" bestFit="1" customWidth="1"/>
    <col min="15" max="15" width="19.85546875" bestFit="1" customWidth="1"/>
    <col min="16" max="16" width="16.85546875" bestFit="1" customWidth="1"/>
    <col min="17" max="17" width="18" bestFit="1" customWidth="1"/>
    <col min="18" max="18" width="15.7109375" bestFit="1" customWidth="1"/>
    <col min="19" max="19" width="14.42578125" bestFit="1" customWidth="1"/>
    <col min="20" max="20" width="20.42578125" bestFit="1" customWidth="1"/>
    <col min="21" max="21" width="11.28515625" bestFit="1" customWidth="1"/>
    <col min="22" max="22" width="12.7109375" bestFit="1" customWidth="1"/>
    <col min="23" max="23" width="14.7109375" bestFit="1" customWidth="1"/>
    <col min="24" max="24" width="46.140625" bestFit="1" customWidth="1"/>
  </cols>
  <sheetData>
    <row r="1" spans="1:24" ht="26.25" x14ac:dyDescent="0.4">
      <c r="A1" s="46" t="s">
        <v>10</v>
      </c>
      <c r="B1" s="47"/>
      <c r="C1" s="47"/>
      <c r="D1" s="47"/>
      <c r="E1" s="47"/>
      <c r="F1" s="47"/>
      <c r="G1" s="47"/>
      <c r="H1" s="47"/>
      <c r="I1" s="48"/>
      <c r="J1" s="9"/>
      <c r="K1" s="54" t="s">
        <v>12</v>
      </c>
      <c r="L1" s="55"/>
      <c r="M1" s="55"/>
      <c r="N1" s="55"/>
      <c r="O1" s="55"/>
      <c r="P1" s="55"/>
      <c r="Q1" s="55"/>
      <c r="R1" s="55"/>
      <c r="S1" s="56"/>
      <c r="U1" s="41" t="s">
        <v>25</v>
      </c>
      <c r="V1" s="42"/>
      <c r="W1" s="42"/>
      <c r="X1" s="42"/>
    </row>
    <row r="2" spans="1:24" x14ac:dyDescent="0.25">
      <c r="A2" s="52" t="s">
        <v>22</v>
      </c>
      <c r="B2" s="53"/>
      <c r="C2" s="49" t="s">
        <v>20</v>
      </c>
      <c r="D2" s="50"/>
      <c r="E2" s="51"/>
      <c r="F2" s="49" t="s">
        <v>19</v>
      </c>
      <c r="G2" s="50"/>
      <c r="H2" s="51"/>
      <c r="I2" s="6" t="s">
        <v>21</v>
      </c>
      <c r="J2" s="9"/>
      <c r="K2" s="57" t="s">
        <v>22</v>
      </c>
      <c r="L2" s="58"/>
      <c r="M2" s="59" t="s">
        <v>20</v>
      </c>
      <c r="N2" s="60"/>
      <c r="O2" s="61"/>
      <c r="P2" s="59" t="s">
        <v>19</v>
      </c>
      <c r="Q2" s="60"/>
      <c r="R2" s="61"/>
      <c r="S2" s="10" t="s">
        <v>21</v>
      </c>
      <c r="U2" s="43" t="s">
        <v>24</v>
      </c>
      <c r="V2" s="44"/>
      <c r="W2" s="44"/>
      <c r="X2" s="45"/>
    </row>
    <row r="3" spans="1:24" x14ac:dyDescent="0.25">
      <c r="A3" s="11" t="s">
        <v>23</v>
      </c>
      <c r="B3" s="11" t="s">
        <v>0</v>
      </c>
      <c r="C3" s="11" t="s">
        <v>14</v>
      </c>
      <c r="D3" s="11" t="s">
        <v>16</v>
      </c>
      <c r="E3" s="11" t="s">
        <v>15</v>
      </c>
      <c r="F3" s="12" t="s">
        <v>13</v>
      </c>
      <c r="G3" s="11" t="s">
        <v>17</v>
      </c>
      <c r="H3" s="13" t="s">
        <v>11</v>
      </c>
      <c r="I3" s="12" t="s">
        <v>18</v>
      </c>
      <c r="J3" s="15" t="s">
        <v>33</v>
      </c>
      <c r="K3" s="1" t="s">
        <v>23</v>
      </c>
      <c r="L3" s="1" t="s">
        <v>0</v>
      </c>
      <c r="M3" s="1" t="s">
        <v>14</v>
      </c>
      <c r="N3" s="1" t="s">
        <v>16</v>
      </c>
      <c r="O3" s="1" t="s">
        <v>15</v>
      </c>
      <c r="P3" s="1" t="s">
        <v>13</v>
      </c>
      <c r="Q3" s="1" t="s">
        <v>17</v>
      </c>
      <c r="R3" s="1" t="s">
        <v>11</v>
      </c>
      <c r="S3" s="1" t="s">
        <v>18</v>
      </c>
      <c r="T3" s="18" t="s">
        <v>33</v>
      </c>
      <c r="U3" s="14" t="s">
        <v>26</v>
      </c>
      <c r="V3" s="14" t="s">
        <v>27</v>
      </c>
      <c r="W3" s="14" t="s">
        <v>18</v>
      </c>
      <c r="X3" s="14" t="s">
        <v>28</v>
      </c>
    </row>
    <row r="4" spans="1:24" hidden="1" x14ac:dyDescent="0.25">
      <c r="A4" s="3">
        <v>2024</v>
      </c>
      <c r="B4" s="8" t="s">
        <v>1</v>
      </c>
      <c r="C4" s="1">
        <v>5532</v>
      </c>
      <c r="D4" s="1">
        <v>5532</v>
      </c>
      <c r="E4" s="4">
        <f>Tabla42422[[#This Row],[Lectura Medidor Actual]]-Tabla42422[[#This Row],[Lectura Medidor Anterior]]</f>
        <v>0</v>
      </c>
      <c r="F4" s="7">
        <f>Tabla_Luz[[#This Row],[Importe Recibo]]</f>
        <v>193</v>
      </c>
      <c r="G4" s="1">
        <f>Tabla_Luz[[#This Row],[Consumo Recibo]]</f>
        <v>215</v>
      </c>
      <c r="H4" s="5">
        <f>ROUND(Tabla42422[[#This Row],[Importe Recibo]]/Tabla42422[[#This Row],[Consumo Recibo]],2)</f>
        <v>0.9</v>
      </c>
      <c r="I4" s="2">
        <f>ROUND(Tabla42422[[#This Row],[Consumo Medidor]]*Tabla42422[[#This Row],[Valor Unitario]],2)</f>
        <v>0</v>
      </c>
      <c r="J4" s="16">
        <f>Tabla42422[[#This Row],[Total a Pagar]]/Tabla42422[[#This Row],[Importe Recibo]]</f>
        <v>0</v>
      </c>
      <c r="K4">
        <v>2024</v>
      </c>
      <c r="L4" s="8" t="s">
        <v>1</v>
      </c>
      <c r="M4" s="1">
        <v>752</v>
      </c>
      <c r="N4" s="1">
        <v>752</v>
      </c>
      <c r="O4" s="4">
        <f>Tabla424623[[#This Row],[Lectura Medidor Actual]]-Tabla424623[[#This Row],[Lectura Medidor Anterior]]</f>
        <v>0</v>
      </c>
      <c r="P4" s="7">
        <f>Tabla_Agua[[#This Row],[Importe Recibo]]</f>
        <v>379.2</v>
      </c>
      <c r="Q4" s="1">
        <f>Tabla_Agua[[#This Row],[Consumo Recibo]]</f>
        <v>41</v>
      </c>
      <c r="R4" s="5">
        <f>ROUND(Tabla424623[[#This Row],[Importe Recibo]]/Tabla424623[[#This Row],[Consumo Recibo]],2)</f>
        <v>9.25</v>
      </c>
      <c r="S4" s="2">
        <f>ROUND(Tabla424623[[#This Row],[Consumo Medidor]]*Tabla424623[[#This Row],[Valor Unitario]],2)</f>
        <v>0</v>
      </c>
      <c r="T4" s="17">
        <f>Tabla424623[[#This Row],[Total a Pagar]]/Tabla424623[[#This Row],[Importe Recibo]]</f>
        <v>0</v>
      </c>
      <c r="U4" s="2">
        <f>Tabla42422[[#This Row],[Total a Pagar]]</f>
        <v>0</v>
      </c>
      <c r="V4" s="2">
        <f>Tabla424623[[#This Row],[Total a Pagar]]</f>
        <v>0</v>
      </c>
      <c r="W4" s="2">
        <f>ROUND(Tabla_Departamento_Antiguo[[#This Row],[Total Luz]]+Tabla_Departamento_Antiguo[[#This Row],[Total Agua]],2)</f>
        <v>0</v>
      </c>
      <c r="X4" s="14" t="s">
        <v>30</v>
      </c>
    </row>
    <row r="5" spans="1:24" hidden="1" x14ac:dyDescent="0.25">
      <c r="A5" s="3">
        <v>2024</v>
      </c>
      <c r="B5" s="8" t="s">
        <v>2</v>
      </c>
      <c r="C5" s="1">
        <v>5582</v>
      </c>
      <c r="D5" s="1">
        <v>5532</v>
      </c>
      <c r="E5" s="4">
        <f>Tabla42422[[#This Row],[Lectura Medidor Actual]]-Tabla42422[[#This Row],[Lectura Medidor Anterior]]</f>
        <v>50</v>
      </c>
      <c r="F5" s="7">
        <f>Tabla_Luz[[#This Row],[Importe Recibo]]</f>
        <v>259</v>
      </c>
      <c r="G5" s="1">
        <f>Tabla_Luz[[#This Row],[Consumo Recibo]]</f>
        <v>299</v>
      </c>
      <c r="H5" s="5">
        <f>ROUND(Tabla42422[[#This Row],[Importe Recibo]]/Tabla42422[[#This Row],[Consumo Recibo]],2)</f>
        <v>0.87</v>
      </c>
      <c r="I5" s="2">
        <f>ROUND(Tabla42422[[#This Row],[Consumo Medidor]]*Tabla42422[[#This Row],[Valor Unitario]],2)</f>
        <v>43.5</v>
      </c>
      <c r="J5" s="16">
        <f>Tabla42422[[#This Row],[Total a Pagar]]/Tabla42422[[#This Row],[Importe Recibo]]</f>
        <v>0.16795366795366795</v>
      </c>
      <c r="K5">
        <v>2024</v>
      </c>
      <c r="L5" s="8" t="s">
        <v>2</v>
      </c>
      <c r="M5" s="1">
        <v>757</v>
      </c>
      <c r="N5" s="1">
        <v>752</v>
      </c>
      <c r="O5" s="4">
        <f>Tabla424623[[#This Row],[Lectura Medidor Actual]]-Tabla424623[[#This Row],[Lectura Medidor Anterior]]</f>
        <v>5</v>
      </c>
      <c r="P5" s="7">
        <f>Tabla_Agua[[#This Row],[Importe Recibo]]</f>
        <v>302.39999999999998</v>
      </c>
      <c r="Q5" s="1">
        <f>Tabla_Agua[[#This Row],[Consumo Recibo]]</f>
        <v>30</v>
      </c>
      <c r="R5" s="5">
        <f>ROUND(Tabla424623[[#This Row],[Importe Recibo]]/Tabla424623[[#This Row],[Consumo Recibo]],2)</f>
        <v>10.08</v>
      </c>
      <c r="S5" s="2">
        <f>ROUND(Tabla424623[[#This Row],[Consumo Medidor]]*Tabla424623[[#This Row],[Valor Unitario]],2)</f>
        <v>50.4</v>
      </c>
      <c r="T5" s="17">
        <f>Tabla424623[[#This Row],[Total a Pagar]]/Tabla424623[[#This Row],[Importe Recibo]]</f>
        <v>0.16666666666666669</v>
      </c>
      <c r="U5" s="2">
        <f>Tabla42422[[#This Row],[Total a Pagar]]</f>
        <v>43.5</v>
      </c>
      <c r="V5" s="2">
        <f>Tabla424623[[#This Row],[Total a Pagar]]</f>
        <v>50.4</v>
      </c>
      <c r="W5" s="2">
        <f>ROUND(Tabla_Departamento_Antiguo[[#This Row],[Total Luz]]+Tabla_Departamento_Antiguo[[#This Row],[Total Agua]],2)</f>
        <v>93.9</v>
      </c>
      <c r="X5" s="14" t="s">
        <v>29</v>
      </c>
    </row>
    <row r="6" spans="1:24" hidden="1" x14ac:dyDescent="0.25">
      <c r="A6">
        <v>2024</v>
      </c>
      <c r="B6" s="8" t="s">
        <v>3</v>
      </c>
      <c r="C6" s="1">
        <v>5670</v>
      </c>
      <c r="D6" s="1">
        <v>5582</v>
      </c>
      <c r="E6" s="4">
        <f>Tabla42422[[#This Row],[Lectura Medidor Actual]]-Tabla42422[[#This Row],[Lectura Medidor Anterior]]</f>
        <v>88</v>
      </c>
      <c r="F6" s="7">
        <f>Tabla_Luz[[#This Row],[Importe Recibo]]</f>
        <v>241</v>
      </c>
      <c r="G6" s="1">
        <f>Tabla_Luz[[#This Row],[Consumo Recibo]]</f>
        <v>282</v>
      </c>
      <c r="H6" s="5">
        <f>ROUND(Tabla42422[[#This Row],[Importe Recibo]]/Tabla42422[[#This Row],[Consumo Recibo]],2)</f>
        <v>0.85</v>
      </c>
      <c r="I6" s="2">
        <f>ROUND(Tabla42422[[#This Row],[Consumo Medidor]]*Tabla42422[[#This Row],[Valor Unitario]],2)</f>
        <v>74.8</v>
      </c>
      <c r="J6" s="17">
        <f>Tabla42422[[#This Row],[Total a Pagar]]/Tabla42422[[#This Row],[Importe Recibo]]</f>
        <v>0.3103734439834025</v>
      </c>
      <c r="K6">
        <v>2024</v>
      </c>
      <c r="L6" s="8" t="s">
        <v>3</v>
      </c>
      <c r="M6" s="1">
        <v>764</v>
      </c>
      <c r="N6" s="1">
        <v>757</v>
      </c>
      <c r="O6" s="4">
        <f>Tabla424623[[#This Row],[Lectura Medidor Actual]]-Tabla424623[[#This Row],[Lectura Medidor Anterior]]</f>
        <v>7</v>
      </c>
      <c r="P6" s="7">
        <f>Tabla_Agua[[#This Row],[Importe Recibo]]</f>
        <v>340.8</v>
      </c>
      <c r="Q6" s="1">
        <f>Tabla_Agua[[#This Row],[Consumo Recibo]]</f>
        <v>34</v>
      </c>
      <c r="R6" s="5">
        <f>ROUND(Tabla424623[[#This Row],[Importe Recibo]]/Tabla424623[[#This Row],[Consumo Recibo]],2)</f>
        <v>10.02</v>
      </c>
      <c r="S6" s="2">
        <f>ROUND(Tabla424623[[#This Row],[Consumo Medidor]]*Tabla424623[[#This Row],[Valor Unitario]],2)</f>
        <v>70.14</v>
      </c>
      <c r="T6" s="17">
        <f>Tabla424623[[#This Row],[Total a Pagar]]/Tabla424623[[#This Row],[Importe Recibo]]</f>
        <v>0.20580985915492958</v>
      </c>
      <c r="U6" s="2">
        <f>Tabla42422[[#This Row],[Total a Pagar]]</f>
        <v>74.8</v>
      </c>
      <c r="V6" s="2">
        <f>Tabla424623[[#This Row],[Total a Pagar]]</f>
        <v>70.14</v>
      </c>
      <c r="W6" s="2">
        <f>ROUND(Tabla_Departamento_Antiguo[[#This Row],[Total Luz]]+Tabla_Departamento_Antiguo[[#This Row],[Total Agua]],2)</f>
        <v>144.94</v>
      </c>
      <c r="X6" s="14" t="s">
        <v>29</v>
      </c>
    </row>
    <row r="7" spans="1:24" hidden="1" x14ac:dyDescent="0.25">
      <c r="A7">
        <v>2024</v>
      </c>
      <c r="B7" s="8" t="s">
        <v>4</v>
      </c>
      <c r="C7" s="1">
        <v>5935</v>
      </c>
      <c r="D7" s="1">
        <v>5670</v>
      </c>
      <c r="E7" s="4">
        <f>Tabla42422[[#This Row],[Lectura Medidor Actual]]-Tabla42422[[#This Row],[Lectura Medidor Anterior]]</f>
        <v>265</v>
      </c>
      <c r="F7" s="7">
        <f>Tabla_Luz[[#This Row],[Importe Recibo]]</f>
        <v>337</v>
      </c>
      <c r="G7" s="1">
        <f>Tabla_Luz[[#This Row],[Consumo Recibo]]</f>
        <v>395</v>
      </c>
      <c r="H7" s="5">
        <f>ROUND(Tabla42422[[#This Row],[Importe Recibo]]/Tabla42422[[#This Row],[Consumo Recibo]],2)</f>
        <v>0.85</v>
      </c>
      <c r="I7" s="2">
        <f>ROUND(Tabla42422[[#This Row],[Consumo Medidor]]*Tabla42422[[#This Row],[Valor Unitario]],2)</f>
        <v>225.25</v>
      </c>
      <c r="J7" s="17">
        <f>Tabla42422[[#This Row],[Total a Pagar]]/Tabla42422[[#This Row],[Importe Recibo]]</f>
        <v>0.66839762611275966</v>
      </c>
      <c r="K7">
        <v>2024</v>
      </c>
      <c r="L7" s="8" t="s">
        <v>4</v>
      </c>
      <c r="M7" s="1">
        <v>783</v>
      </c>
      <c r="N7" s="1">
        <v>764</v>
      </c>
      <c r="O7" s="4">
        <f>Tabla424623[[#This Row],[Lectura Medidor Actual]]-Tabla424623[[#This Row],[Lectura Medidor Anterior]]</f>
        <v>19</v>
      </c>
      <c r="P7" s="7">
        <f>Tabla_Agua[[#This Row],[Importe Recibo]]</f>
        <v>359.6</v>
      </c>
      <c r="Q7" s="1">
        <f>Tabla_Agua[[#This Row],[Consumo Recibo]]</f>
        <v>36</v>
      </c>
      <c r="R7" s="5">
        <f>ROUND(Tabla424623[[#This Row],[Importe Recibo]]/Tabla424623[[#This Row],[Consumo Recibo]],2)</f>
        <v>9.99</v>
      </c>
      <c r="S7" s="2">
        <f>ROUND(Tabla424623[[#This Row],[Consumo Medidor]]*Tabla424623[[#This Row],[Valor Unitario]],2)</f>
        <v>189.81</v>
      </c>
      <c r="T7" s="17">
        <f>Tabla424623[[#This Row],[Total a Pagar]]/Tabla424623[[#This Row],[Importe Recibo]]</f>
        <v>0.52783648498331481</v>
      </c>
      <c r="U7" s="2">
        <f>Tabla42422[[#This Row],[Total a Pagar]]</f>
        <v>225.25</v>
      </c>
      <c r="V7" s="2">
        <f>Tabla424623[[#This Row],[Total a Pagar]]</f>
        <v>189.81</v>
      </c>
      <c r="W7" s="2">
        <f>ROUND(Tabla_Departamento_Antiguo[[#This Row],[Total Luz]]+Tabla_Departamento_Antiguo[[#This Row],[Total Agua]],2)</f>
        <v>415.06</v>
      </c>
      <c r="X7" s="14" t="s">
        <v>29</v>
      </c>
    </row>
    <row r="8" spans="1:24" hidden="1" x14ac:dyDescent="0.25">
      <c r="A8">
        <v>2024</v>
      </c>
      <c r="B8" s="8" t="s">
        <v>5</v>
      </c>
      <c r="C8" s="1">
        <v>6076</v>
      </c>
      <c r="D8" s="1">
        <v>5935</v>
      </c>
      <c r="E8" s="4">
        <f>Tabla42422[[#This Row],[Lectura Medidor Actual]]-Tabla42422[[#This Row],[Lectura Medidor Anterior]]</f>
        <v>141</v>
      </c>
      <c r="F8" s="7">
        <f>Tabla_Luz[[#This Row],[Importe Recibo]]</f>
        <v>391</v>
      </c>
      <c r="G8" s="1">
        <f>Tabla_Luz[[#This Row],[Consumo Recibo]]</f>
        <v>462</v>
      </c>
      <c r="H8" s="5">
        <f>ROUND(Tabla42422[[#This Row],[Importe Recibo]]/Tabla42422[[#This Row],[Consumo Recibo]],2)</f>
        <v>0.85</v>
      </c>
      <c r="I8" s="2">
        <f>ROUND(Tabla42422[[#This Row],[Consumo Medidor]]*Tabla42422[[#This Row],[Valor Unitario]],2)</f>
        <v>119.85</v>
      </c>
      <c r="J8" s="17">
        <f>Tabla42422[[#This Row],[Total a Pagar]]/Tabla42422[[#This Row],[Importe Recibo]]</f>
        <v>0.30652173913043479</v>
      </c>
      <c r="K8">
        <v>2024</v>
      </c>
      <c r="L8" s="8" t="s">
        <v>5</v>
      </c>
      <c r="M8" s="1">
        <v>792</v>
      </c>
      <c r="N8" s="1">
        <v>783</v>
      </c>
      <c r="O8" s="4">
        <f>Tabla424623[[#This Row],[Lectura Medidor Actual]]-Tabla424623[[#This Row],[Lectura Medidor Anterior]]</f>
        <v>9</v>
      </c>
      <c r="P8" s="7">
        <f>Tabla_Agua[[#This Row],[Importe Recibo]]</f>
        <v>439.3</v>
      </c>
      <c r="Q8" s="1">
        <f>Tabla_Agua[[#This Row],[Consumo Recibo]]</f>
        <v>44</v>
      </c>
      <c r="R8" s="5">
        <f>ROUND(Tabla424623[[#This Row],[Importe Recibo]]/Tabla424623[[#This Row],[Consumo Recibo]],2)</f>
        <v>9.98</v>
      </c>
      <c r="S8" s="2">
        <f>ROUND(Tabla424623[[#This Row],[Consumo Medidor]]*Tabla424623[[#This Row],[Valor Unitario]],2)</f>
        <v>89.82</v>
      </c>
      <c r="T8" s="17">
        <f>Tabla424623[[#This Row],[Total a Pagar]]/Tabla424623[[#This Row],[Importe Recibo]]</f>
        <v>0.20446164352378782</v>
      </c>
      <c r="U8" s="2">
        <f>Tabla42422[[#This Row],[Total a Pagar]]</f>
        <v>119.85</v>
      </c>
      <c r="V8" s="2">
        <f>Tabla424623[[#This Row],[Total a Pagar]]</f>
        <v>89.82</v>
      </c>
      <c r="W8" s="2">
        <f>ROUND(Tabla_Departamento_Antiguo[[#This Row],[Total Luz]]+Tabla_Departamento_Antiguo[[#This Row],[Total Agua]],2)</f>
        <v>209.67</v>
      </c>
      <c r="X8" s="14" t="s">
        <v>29</v>
      </c>
    </row>
    <row r="9" spans="1:24" hidden="1" x14ac:dyDescent="0.25">
      <c r="A9">
        <v>2024</v>
      </c>
      <c r="B9" s="8" t="s">
        <v>6</v>
      </c>
      <c r="C9" s="1">
        <v>6221</v>
      </c>
      <c r="D9" s="1">
        <v>6076</v>
      </c>
      <c r="E9" s="4">
        <f>Tabla42422[[#This Row],[Lectura Medidor Actual]]-Tabla42422[[#This Row],[Lectura Medidor Anterior]]</f>
        <v>145</v>
      </c>
      <c r="F9" s="7">
        <f>Tabla_Luz[[#This Row],[Importe Recibo]]</f>
        <v>404.91</v>
      </c>
      <c r="G9" s="1">
        <f>Tabla_Luz[[#This Row],[Consumo Recibo]]</f>
        <v>485</v>
      </c>
      <c r="H9" s="5">
        <f>ROUND(Tabla42422[[#This Row],[Importe Recibo]]/Tabla42422[[#This Row],[Consumo Recibo]],2)</f>
        <v>0.83</v>
      </c>
      <c r="I9" s="2">
        <f>ROUND(Tabla42422[[#This Row],[Consumo Medidor]]*Tabla42422[[#This Row],[Valor Unitario]],2)</f>
        <v>120.35</v>
      </c>
      <c r="J9" s="17">
        <f>Tabla42422[[#This Row],[Total a Pagar]]/Tabla42422[[#This Row],[Importe Recibo]]</f>
        <v>0.29722654417030941</v>
      </c>
      <c r="K9">
        <v>2024</v>
      </c>
      <c r="L9" s="8" t="s">
        <v>6</v>
      </c>
      <c r="M9" s="1">
        <v>802</v>
      </c>
      <c r="N9" s="1">
        <v>792</v>
      </c>
      <c r="O9" s="4">
        <f>Tabla424623[[#This Row],[Lectura Medidor Actual]]-Tabla424623[[#This Row],[Lectura Medidor Anterior]]</f>
        <v>10</v>
      </c>
      <c r="P9" s="7">
        <f>Tabla_Agua[[#This Row],[Importe Recibo]]</f>
        <v>794.3</v>
      </c>
      <c r="Q9" s="1">
        <f>Tabla_Agua[[#This Row],[Consumo Recibo]]</f>
        <v>79</v>
      </c>
      <c r="R9" s="5">
        <f>ROUND(Tabla424623[[#This Row],[Importe Recibo]]/Tabla424623[[#This Row],[Consumo Recibo]],2)</f>
        <v>10.050000000000001</v>
      </c>
      <c r="S9" s="2">
        <f>ROUND(Tabla424623[[#This Row],[Consumo Medidor]]*Tabla424623[[#This Row],[Valor Unitario]],2)</f>
        <v>100.5</v>
      </c>
      <c r="T9" s="17">
        <f>Tabla424623[[#This Row],[Total a Pagar]]/Tabla424623[[#This Row],[Importe Recibo]]</f>
        <v>0.12652650132191867</v>
      </c>
      <c r="U9" s="2">
        <f>Tabla42422[[#This Row],[Total a Pagar]]</f>
        <v>120.35</v>
      </c>
      <c r="V9" s="2">
        <f>Tabla424623[[#This Row],[Total a Pagar]]</f>
        <v>100.5</v>
      </c>
      <c r="W9" s="2">
        <f>ROUND(Tabla_Departamento_Antiguo[[#This Row],[Total Luz]]+Tabla_Departamento_Antiguo[[#This Row],[Total Agua]],2)</f>
        <v>220.85</v>
      </c>
      <c r="X9" s="14" t="s">
        <v>29</v>
      </c>
    </row>
    <row r="10" spans="1:24" hidden="1" x14ac:dyDescent="0.25">
      <c r="A10">
        <v>2024</v>
      </c>
      <c r="B10" s="8" t="s">
        <v>7</v>
      </c>
      <c r="C10" s="1">
        <v>6336</v>
      </c>
      <c r="D10" s="1">
        <v>6221</v>
      </c>
      <c r="E10" s="4">
        <f>Tabla42422[[#This Row],[Lectura Medidor Actual]]-Tabla42422[[#This Row],[Lectura Medidor Anterior]]</f>
        <v>115</v>
      </c>
      <c r="F10" s="7">
        <f>Tabla_Luz[[#This Row],[Importe Recibo]]</f>
        <v>456.14</v>
      </c>
      <c r="G10" s="1">
        <f>Tabla_Luz[[#This Row],[Consumo Recibo]]</f>
        <v>510</v>
      </c>
      <c r="H10" s="5">
        <f>ROUND(Tabla42422[[#This Row],[Importe Recibo]]/Tabla42422[[#This Row],[Consumo Recibo]],2)</f>
        <v>0.89</v>
      </c>
      <c r="I10" s="2">
        <f>ROUND(Tabla42422[[#This Row],[Consumo Medidor]]*Tabla42422[[#This Row],[Valor Unitario]],2)</f>
        <v>102.35</v>
      </c>
      <c r="J10" s="17">
        <f>Tabla42422[[#This Row],[Total a Pagar]]/Tabla42422[[#This Row],[Importe Recibo]]</f>
        <v>0.22438286490989609</v>
      </c>
      <c r="K10">
        <v>2024</v>
      </c>
      <c r="L10" s="8" t="s">
        <v>7</v>
      </c>
      <c r="M10" s="1">
        <v>811</v>
      </c>
      <c r="N10" s="1">
        <v>802</v>
      </c>
      <c r="O10" s="4">
        <f>Tabla424623[[#This Row],[Lectura Medidor Actual]]-Tabla424623[[#This Row],[Lectura Medidor Anterior]]</f>
        <v>9</v>
      </c>
      <c r="P10" s="7">
        <f>Tabla_Agua[[#This Row],[Importe Recibo]]</f>
        <v>453.8</v>
      </c>
      <c r="Q10" s="1">
        <f>Tabla_Agua[[#This Row],[Consumo Recibo]]</f>
        <v>53</v>
      </c>
      <c r="R10" s="5">
        <f>ROUND(Tabla424623[[#This Row],[Importe Recibo]]/Tabla424623[[#This Row],[Consumo Recibo]],2)</f>
        <v>8.56</v>
      </c>
      <c r="S10" s="2">
        <f>ROUND(Tabla424623[[#This Row],[Consumo Medidor]]*Tabla424623[[#This Row],[Valor Unitario]],2)</f>
        <v>77.040000000000006</v>
      </c>
      <c r="T10" s="17">
        <f>Tabla424623[[#This Row],[Total a Pagar]]/Tabla424623[[#This Row],[Importe Recibo]]</f>
        <v>0.16976641692375496</v>
      </c>
      <c r="U10" s="2">
        <f>Tabla42422[[#This Row],[Total a Pagar]]</f>
        <v>102.35</v>
      </c>
      <c r="V10" s="2">
        <f>Tabla424623[[#This Row],[Total a Pagar]]</f>
        <v>77.040000000000006</v>
      </c>
      <c r="W10" s="2">
        <f>ROUND(Tabla_Departamento_Antiguo[[#This Row],[Total Luz]]+Tabla_Departamento_Antiguo[[#This Row],[Total Agua]],2)</f>
        <v>179.39</v>
      </c>
      <c r="X10" s="14" t="s">
        <v>29</v>
      </c>
    </row>
    <row r="11" spans="1:24" hidden="1" x14ac:dyDescent="0.25">
      <c r="A11">
        <v>2024</v>
      </c>
      <c r="B11" s="8" t="s">
        <v>8</v>
      </c>
      <c r="C11" s="1">
        <v>6503</v>
      </c>
      <c r="D11" s="1">
        <v>6336</v>
      </c>
      <c r="E11" s="4">
        <f>Tabla42422[[#This Row],[Lectura Medidor Actual]]-Tabla42422[[#This Row],[Lectura Medidor Anterior]]</f>
        <v>167</v>
      </c>
      <c r="F11" s="7">
        <f>Tabla_Luz[[#This Row],[Importe Recibo]]</f>
        <v>501.5</v>
      </c>
      <c r="G11" s="1">
        <f>Tabla_Luz[[#This Row],[Consumo Recibo]]</f>
        <v>560</v>
      </c>
      <c r="H11" s="5">
        <f>ROUND(Tabla42422[[#This Row],[Importe Recibo]]/Tabla42422[[#This Row],[Consumo Recibo]],2)</f>
        <v>0.9</v>
      </c>
      <c r="I11" s="2">
        <f>ROUND(Tabla42422[[#This Row],[Consumo Medidor]]*Tabla42422[[#This Row],[Valor Unitario]],2)</f>
        <v>150.30000000000001</v>
      </c>
      <c r="J11" s="17">
        <f>Tabla42422[[#This Row],[Total a Pagar]]/Tabla42422[[#This Row],[Importe Recibo]]</f>
        <v>0.29970089730807581</v>
      </c>
      <c r="K11">
        <v>2024</v>
      </c>
      <c r="L11" s="8" t="s">
        <v>8</v>
      </c>
      <c r="M11" s="1">
        <v>824</v>
      </c>
      <c r="N11" s="1">
        <v>811</v>
      </c>
      <c r="O11" s="4">
        <f>Tabla424623[[#This Row],[Lectura Medidor Actual]]-Tabla424623[[#This Row],[Lectura Medidor Anterior]]</f>
        <v>13</v>
      </c>
      <c r="P11" s="7">
        <f>Tabla_Agua[[#This Row],[Importe Recibo]]</f>
        <v>424.2</v>
      </c>
      <c r="Q11" s="1">
        <f>Tabla_Agua[[#This Row],[Consumo Recibo]]</f>
        <v>50</v>
      </c>
      <c r="R11" s="5">
        <f>ROUND(Tabla424623[[#This Row],[Importe Recibo]]/Tabla424623[[#This Row],[Consumo Recibo]],2)</f>
        <v>8.48</v>
      </c>
      <c r="S11" s="2">
        <f>ROUND(Tabla424623[[#This Row],[Consumo Medidor]]*Tabla424623[[#This Row],[Valor Unitario]],2)</f>
        <v>110.24</v>
      </c>
      <c r="T11" s="17">
        <f>Tabla424623[[#This Row],[Total a Pagar]]/Tabla424623[[#This Row],[Importe Recibo]]</f>
        <v>0.25987741631305988</v>
      </c>
      <c r="U11" s="2">
        <f>Tabla42422[[#This Row],[Total a Pagar]]</f>
        <v>150.30000000000001</v>
      </c>
      <c r="V11" s="2">
        <f>Tabla424623[[#This Row],[Total a Pagar]]</f>
        <v>110.24</v>
      </c>
      <c r="W11" s="2">
        <f>ROUND(Tabla_Departamento_Antiguo[[#This Row],[Total Luz]]+Tabla_Departamento_Antiguo[[#This Row],[Total Agua]],2)</f>
        <v>260.54000000000002</v>
      </c>
      <c r="X11" s="14" t="s">
        <v>29</v>
      </c>
    </row>
    <row r="12" spans="1:24" hidden="1" x14ac:dyDescent="0.25">
      <c r="A12">
        <v>2024</v>
      </c>
      <c r="B12" s="8" t="s">
        <v>9</v>
      </c>
      <c r="C12" s="1">
        <v>6627</v>
      </c>
      <c r="D12" s="1">
        <v>6503</v>
      </c>
      <c r="E12" s="4">
        <f>Tabla42422[[#This Row],[Lectura Medidor Actual]]-Tabla42422[[#This Row],[Lectura Medidor Anterior]]</f>
        <v>124</v>
      </c>
      <c r="F12" s="7">
        <f>Tabla_Luz[[#This Row],[Importe Recibo]]</f>
        <v>512</v>
      </c>
      <c r="G12" s="1">
        <f>Tabla_Luz[[#This Row],[Consumo Recibo]]</f>
        <v>577</v>
      </c>
      <c r="H12" s="5">
        <f>ROUND(Tabla42422[[#This Row],[Importe Recibo]]/Tabla42422[[#This Row],[Consumo Recibo]],2)</f>
        <v>0.89</v>
      </c>
      <c r="I12" s="2">
        <f>ROUND(Tabla42422[[#This Row],[Consumo Medidor]]*Tabla42422[[#This Row],[Valor Unitario]],2)</f>
        <v>110.36</v>
      </c>
      <c r="J12" s="17">
        <f>Tabla42422[[#This Row],[Total a Pagar]]/Tabla42422[[#This Row],[Importe Recibo]]</f>
        <v>0.215546875</v>
      </c>
      <c r="K12">
        <v>2024</v>
      </c>
      <c r="L12" s="8" t="s">
        <v>9</v>
      </c>
      <c r="M12" s="1">
        <v>835</v>
      </c>
      <c r="N12" s="1">
        <v>824</v>
      </c>
      <c r="O12" s="4">
        <f>Tabla424623[[#This Row],[Lectura Medidor Actual]]-Tabla424623[[#This Row],[Lectura Medidor Anterior]]</f>
        <v>11</v>
      </c>
      <c r="P12" s="7">
        <f>Tabla_Agua[[#This Row],[Importe Recibo]]</f>
        <v>455.7</v>
      </c>
      <c r="Q12" s="1">
        <f>Tabla_Agua[[#This Row],[Consumo Recibo]]</f>
        <v>54</v>
      </c>
      <c r="R12" s="5">
        <f>ROUND(Tabla424623[[#This Row],[Importe Recibo]]/Tabla424623[[#This Row],[Consumo Recibo]],2)</f>
        <v>8.44</v>
      </c>
      <c r="S12" s="2">
        <f>ROUND(Tabla424623[[#This Row],[Consumo Medidor]]*Tabla424623[[#This Row],[Valor Unitario]],2)</f>
        <v>92.84</v>
      </c>
      <c r="T12" s="17">
        <f>Tabla424623[[#This Row],[Total a Pagar]]/Tabla424623[[#This Row],[Importe Recibo]]</f>
        <v>0.20373052446785167</v>
      </c>
      <c r="U12" s="2">
        <f>Tabla42422[[#This Row],[Total a Pagar]]</f>
        <v>110.36</v>
      </c>
      <c r="V12" s="2">
        <f>Tabla424623[[#This Row],[Total a Pagar]]</f>
        <v>92.84</v>
      </c>
      <c r="W12" s="2">
        <f>ROUND(Tabla_Departamento_Antiguo[[#This Row],[Total Luz]]+Tabla_Departamento_Antiguo[[#This Row],[Total Agua]],2)</f>
        <v>203.2</v>
      </c>
      <c r="X12" s="14" t="s">
        <v>29</v>
      </c>
    </row>
    <row r="13" spans="1:24" hidden="1" x14ac:dyDescent="0.25">
      <c r="A13">
        <v>2024</v>
      </c>
      <c r="B13" s="8" t="s">
        <v>32</v>
      </c>
      <c r="C13" s="1">
        <v>6781</v>
      </c>
      <c r="D13" s="1">
        <v>6627</v>
      </c>
      <c r="E13" s="4">
        <f>Tabla42422[[#This Row],[Lectura Medidor Actual]]-Tabla42422[[#This Row],[Lectura Medidor Anterior]]</f>
        <v>154</v>
      </c>
      <c r="F13" s="7">
        <f>Tabla_Luz[[#This Row],[Importe Recibo]]</f>
        <v>421.5</v>
      </c>
      <c r="G13" s="1">
        <f>Tabla_Luz[[#This Row],[Consumo Recibo]]</f>
        <v>493</v>
      </c>
      <c r="H13" s="5">
        <f>ROUND(Tabla42422[[#This Row],[Importe Recibo]]/Tabla42422[[#This Row],[Consumo Recibo]],2)</f>
        <v>0.85</v>
      </c>
      <c r="I13" s="2">
        <f>ROUND(Tabla42422[[#This Row],[Consumo Medidor]]*Tabla42422[[#This Row],[Valor Unitario]],2)</f>
        <v>130.9</v>
      </c>
      <c r="J13" s="17">
        <f>Tabla42422[[#This Row],[Total a Pagar]]/Tabla42422[[#This Row],[Importe Recibo]]</f>
        <v>0.31055753262158958</v>
      </c>
      <c r="K13">
        <v>2024</v>
      </c>
      <c r="L13" s="8" t="s">
        <v>32</v>
      </c>
      <c r="M13" s="1">
        <v>847</v>
      </c>
      <c r="N13" s="1">
        <v>835</v>
      </c>
      <c r="O13" s="4">
        <f>Tabla424623[[#This Row],[Lectura Medidor Actual]]-Tabla424623[[#This Row],[Lectura Medidor Anterior]]</f>
        <v>12</v>
      </c>
      <c r="P13" s="7">
        <f>Tabla_Agua[[#This Row],[Importe Recibo]]</f>
        <v>441.1</v>
      </c>
      <c r="Q13" s="1">
        <f>Tabla_Agua[[#This Row],[Consumo Recibo]]</f>
        <v>52</v>
      </c>
      <c r="R13" s="5">
        <f>ROUND(Tabla424623[[#This Row],[Importe Recibo]]/Tabla424623[[#This Row],[Consumo Recibo]],2)</f>
        <v>8.48</v>
      </c>
      <c r="S13" s="2">
        <f>ROUND(Tabla424623[[#This Row],[Consumo Medidor]]*Tabla424623[[#This Row],[Valor Unitario]],2)</f>
        <v>101.76</v>
      </c>
      <c r="T13" s="17">
        <f>Tabla424623[[#This Row],[Total a Pagar]]/Tabla424623[[#This Row],[Importe Recibo]]</f>
        <v>0.23069598730446611</v>
      </c>
      <c r="U13" s="2">
        <f>Tabla42422[[#This Row],[Total a Pagar]]</f>
        <v>130.9</v>
      </c>
      <c r="V13" s="2">
        <f>Tabla424623[[#This Row],[Total a Pagar]]</f>
        <v>101.76</v>
      </c>
      <c r="W13" s="2">
        <f>ROUND(Tabla_Departamento_Antiguo[[#This Row],[Total Luz]]+Tabla_Departamento_Antiguo[[#This Row],[Total Agua]],2)</f>
        <v>232.66</v>
      </c>
      <c r="X13" s="14"/>
    </row>
    <row r="14" spans="1:24" hidden="1" x14ac:dyDescent="0.25">
      <c r="A14">
        <v>2024</v>
      </c>
      <c r="B14" s="8" t="s">
        <v>34</v>
      </c>
      <c r="C14" s="1">
        <v>6909</v>
      </c>
      <c r="D14" s="1">
        <v>6781</v>
      </c>
      <c r="E14" s="4">
        <f>Tabla42422[[#This Row],[Lectura Medidor Actual]]-Tabla42422[[#This Row],[Lectura Medidor Anterior]]</f>
        <v>128</v>
      </c>
      <c r="F14" s="7">
        <f>Tabla_Luz[[#This Row],[Importe Recibo]]</f>
        <v>384</v>
      </c>
      <c r="G14" s="1">
        <f>Tabla_Luz[[#This Row],[Consumo Recibo]]</f>
        <v>449</v>
      </c>
      <c r="H14" s="5">
        <f>ROUND(Tabla42422[[#This Row],[Importe Recibo]]/Tabla42422[[#This Row],[Consumo Recibo]],2)</f>
        <v>0.86</v>
      </c>
      <c r="I14" s="2">
        <f>ROUND(Tabla42422[[#This Row],[Consumo Medidor]]*Tabla42422[[#This Row],[Valor Unitario]],2)</f>
        <v>110.08</v>
      </c>
      <c r="J14" s="17">
        <f>Tabla42422[[#This Row],[Total a Pagar]]/Tabla42422[[#This Row],[Importe Recibo]]</f>
        <v>0.28666666666666668</v>
      </c>
      <c r="K14">
        <v>2024</v>
      </c>
      <c r="L14" s="8" t="s">
        <v>34</v>
      </c>
      <c r="M14" s="1">
        <v>857</v>
      </c>
      <c r="N14" s="1">
        <v>847</v>
      </c>
      <c r="O14" s="4">
        <f>Tabla424623[[#This Row],[Lectura Medidor Actual]]-Tabla424623[[#This Row],[Lectura Medidor Anterior]]</f>
        <v>10</v>
      </c>
      <c r="P14" s="7">
        <f>Tabla_Agua[[#This Row],[Importe Recibo]]</f>
        <v>616.4</v>
      </c>
      <c r="Q14" s="1">
        <f>Tabla_Agua[[#This Row],[Consumo Recibo]]</f>
        <v>73</v>
      </c>
      <c r="R14" s="5">
        <f>ROUND(Tabla424623[[#This Row],[Importe Recibo]]/Tabla424623[[#This Row],[Consumo Recibo]],2)</f>
        <v>8.44</v>
      </c>
      <c r="S14" s="2">
        <f>ROUND(Tabla424623[[#This Row],[Consumo Medidor]]*Tabla424623[[#This Row],[Valor Unitario]],2)</f>
        <v>84.4</v>
      </c>
      <c r="T14" s="17">
        <f>Tabla424623[[#This Row],[Total a Pagar]]/Tabla424623[[#This Row],[Importe Recibo]]</f>
        <v>0.13692407527579495</v>
      </c>
      <c r="U14" s="2">
        <f>Tabla42422[[#This Row],[Total a Pagar]]</f>
        <v>110.08</v>
      </c>
      <c r="V14" s="2">
        <f>Tabla424623[[#This Row],[Total a Pagar]]</f>
        <v>84.4</v>
      </c>
      <c r="W14" s="2">
        <f>ROUND(Tabla_Departamento_Antiguo[[#This Row],[Total Luz]]+Tabla_Departamento_Antiguo[[#This Row],[Total Agua]],2)</f>
        <v>194.48</v>
      </c>
      <c r="X14" s="14"/>
    </row>
    <row r="15" spans="1:24" hidden="1" x14ac:dyDescent="0.25">
      <c r="A15">
        <v>2024</v>
      </c>
      <c r="B15" s="8" t="s">
        <v>35</v>
      </c>
      <c r="C15" s="1">
        <v>7040</v>
      </c>
      <c r="D15" s="1">
        <v>6909</v>
      </c>
      <c r="E15" s="4">
        <f>Tabla42422[[#This Row],[Lectura Medidor Actual]]-Tabla42422[[#This Row],[Lectura Medidor Anterior]]</f>
        <v>131</v>
      </c>
      <c r="F15" s="7">
        <f>Tabla_Luz[[#This Row],[Importe Recibo]]</f>
        <v>384</v>
      </c>
      <c r="G15" s="1">
        <f>Tabla_Luz[[#This Row],[Consumo Recibo]]</f>
        <v>448</v>
      </c>
      <c r="H15" s="5">
        <f>ROUND(Tabla42422[[#This Row],[Importe Recibo]]/Tabla42422[[#This Row],[Consumo Recibo]],2)</f>
        <v>0.86</v>
      </c>
      <c r="I15" s="2">
        <f>ROUND(Tabla42422[[#This Row],[Consumo Medidor]]*Tabla42422[[#This Row],[Valor Unitario]],2)</f>
        <v>112.66</v>
      </c>
      <c r="J15" s="17">
        <f>Tabla42422[[#This Row],[Total a Pagar]]/Tabla42422[[#This Row],[Importe Recibo]]</f>
        <v>0.29338541666666668</v>
      </c>
      <c r="K15">
        <v>2024</v>
      </c>
      <c r="L15" s="8" t="s">
        <v>35</v>
      </c>
      <c r="M15" s="1">
        <v>867</v>
      </c>
      <c r="N15" s="1">
        <v>857</v>
      </c>
      <c r="O15" s="4">
        <f>Tabla424623[[#This Row],[Lectura Medidor Actual]]-Tabla424623[[#This Row],[Lectura Medidor Anterior]]</f>
        <v>10</v>
      </c>
      <c r="P15" s="7">
        <f>Tabla_Agua[[#This Row],[Importe Recibo]]</f>
        <v>618.6</v>
      </c>
      <c r="Q15" s="1">
        <f>Tabla_Agua[[#This Row],[Consumo Recibo]]</f>
        <v>73</v>
      </c>
      <c r="R15" s="5">
        <f>ROUND(Tabla424623[[#This Row],[Importe Recibo]]/Tabla424623[[#This Row],[Consumo Recibo]],2)</f>
        <v>8.4700000000000006</v>
      </c>
      <c r="S15" s="2">
        <f>ROUND(Tabla424623[[#This Row],[Consumo Medidor]]*Tabla424623[[#This Row],[Valor Unitario]],2)</f>
        <v>84.7</v>
      </c>
      <c r="T15" s="17">
        <f>Tabla424623[[#This Row],[Total a Pagar]]/Tabla424623[[#This Row],[Importe Recibo]]</f>
        <v>0.13692208212091819</v>
      </c>
      <c r="U15" s="2">
        <f>Tabla42422[[#This Row],[Total a Pagar]]</f>
        <v>112.66</v>
      </c>
      <c r="V15" s="2">
        <f>Tabla424623[[#This Row],[Total a Pagar]]</f>
        <v>84.7</v>
      </c>
      <c r="W15" s="2">
        <f>ROUND(Tabla_Departamento_Antiguo[[#This Row],[Total Luz]]+Tabla_Departamento_Antiguo[[#This Row],[Total Agua]],2)</f>
        <v>197.36</v>
      </c>
      <c r="X15" s="14"/>
    </row>
    <row r="16" spans="1:24" x14ac:dyDescent="0.25">
      <c r="A16">
        <v>2025</v>
      </c>
      <c r="B16" s="8" t="s">
        <v>1</v>
      </c>
      <c r="C16" s="1">
        <v>7216</v>
      </c>
      <c r="D16" s="1">
        <v>7040</v>
      </c>
      <c r="E16" s="4">
        <f>Tabla42422[[#This Row],[Lectura Medidor Actual]]-Tabla42422[[#This Row],[Lectura Medidor Anterior]]</f>
        <v>176</v>
      </c>
      <c r="F16" s="7">
        <f>Tabla_Luz[[#This Row],[Importe Recibo]]</f>
        <v>473</v>
      </c>
      <c r="G16" s="1">
        <f>Tabla_Luz[[#This Row],[Consumo Recibo]]</f>
        <v>532</v>
      </c>
      <c r="H16" s="5">
        <f>ROUND(Tabla42422[[#This Row],[Importe Recibo]]/Tabla42422[[#This Row],[Consumo Recibo]],2)</f>
        <v>0.89</v>
      </c>
      <c r="I16" s="2">
        <f>ROUND(Tabla42422[[#This Row],[Consumo Medidor]]*Tabla42422[[#This Row],[Valor Unitario]],2)</f>
        <v>156.63999999999999</v>
      </c>
      <c r="J16" s="17">
        <f>Tabla42422[[#This Row],[Total a Pagar]]/Tabla42422[[#This Row],[Importe Recibo]]</f>
        <v>0.3311627906976744</v>
      </c>
      <c r="K16">
        <v>2025</v>
      </c>
      <c r="L16" s="8" t="s">
        <v>1</v>
      </c>
      <c r="M16" s="1">
        <v>885</v>
      </c>
      <c r="N16" s="1">
        <v>867</v>
      </c>
      <c r="O16" s="4">
        <f>Tabla424623[[#This Row],[Lectura Medidor Actual]]-Tabla424623[[#This Row],[Lectura Medidor Anterior]]</f>
        <v>18</v>
      </c>
      <c r="P16" s="7">
        <f>Tabla_Agua[[#This Row],[Importe Recibo]]</f>
        <v>808.1</v>
      </c>
      <c r="Q16" s="1">
        <f>Tabla_Agua[[#This Row],[Consumo Recibo]]</f>
        <v>95</v>
      </c>
      <c r="R16" s="5">
        <f>ROUND(Tabla424623[[#This Row],[Importe Recibo]]/Tabla424623[[#This Row],[Consumo Recibo]],2)</f>
        <v>8.51</v>
      </c>
      <c r="S16" s="2">
        <f>ROUND(Tabla424623[[#This Row],[Consumo Medidor]]*Tabla424623[[#This Row],[Valor Unitario]],2)</f>
        <v>153.18</v>
      </c>
      <c r="T16" s="17">
        <f>Tabla424623[[#This Row],[Total a Pagar]]/Tabla424623[[#This Row],[Importe Recibo]]</f>
        <v>0.1895557480509838</v>
      </c>
      <c r="U16" s="2">
        <f>Tabla42422[[#This Row],[Total a Pagar]]</f>
        <v>156.63999999999999</v>
      </c>
      <c r="V16" s="2">
        <f>Tabla424623[[#This Row],[Total a Pagar]]</f>
        <v>153.18</v>
      </c>
      <c r="W16" s="2">
        <f>ROUND(Tabla_Departamento_Antiguo[[#This Row],[Total Luz]]+Tabla_Departamento_Antiguo[[#This Row],[Total Agua]],2)</f>
        <v>309.82</v>
      </c>
      <c r="X16" s="14"/>
    </row>
    <row r="17" spans="1:24" x14ac:dyDescent="0.25">
      <c r="A17">
        <v>2025</v>
      </c>
      <c r="B17" s="8" t="s">
        <v>2</v>
      </c>
      <c r="C17" s="1">
        <v>7344</v>
      </c>
      <c r="D17" s="1">
        <v>7216</v>
      </c>
      <c r="E17" s="4">
        <f>Tabla42422[[#This Row],[Lectura Medidor Actual]]-Tabla42422[[#This Row],[Lectura Medidor Anterior]]</f>
        <v>128</v>
      </c>
      <c r="F17" s="7">
        <f>Tabla_Luz[[#This Row],[Importe Recibo]]</f>
        <v>410</v>
      </c>
      <c r="G17" s="1">
        <f>Tabla_Luz[[#This Row],[Consumo Recibo]]</f>
        <v>479</v>
      </c>
      <c r="H17" s="5">
        <f>ROUND(Tabla42422[[#This Row],[Importe Recibo]]/Tabla42422[[#This Row],[Consumo Recibo]],2)</f>
        <v>0.86</v>
      </c>
      <c r="I17" s="2">
        <f>ROUND(Tabla42422[[#This Row],[Consumo Medidor]]*Tabla42422[[#This Row],[Valor Unitario]],2)</f>
        <v>110.08</v>
      </c>
      <c r="J17" s="17">
        <f>Tabla42422[[#This Row],[Total a Pagar]]/Tabla42422[[#This Row],[Importe Recibo]]</f>
        <v>0.2684878048780488</v>
      </c>
      <c r="K17">
        <v>2025</v>
      </c>
      <c r="L17" s="8" t="s">
        <v>2</v>
      </c>
      <c r="M17" s="1">
        <v>899</v>
      </c>
      <c r="N17" s="1">
        <v>885</v>
      </c>
      <c r="O17" s="4">
        <f>Tabla424623[[#This Row],[Lectura Medidor Actual]]-Tabla424623[[#This Row],[Lectura Medidor Anterior]]</f>
        <v>14</v>
      </c>
      <c r="P17" s="7">
        <f>Tabla_Agua[[#This Row],[Importe Recibo]]</f>
        <v>646.29999999999995</v>
      </c>
      <c r="Q17" s="1">
        <f>Tabla_Agua[[#This Row],[Consumo Recibo]]</f>
        <v>76</v>
      </c>
      <c r="R17" s="5">
        <f>ROUND(Tabla424623[[#This Row],[Importe Recibo]]/Tabla424623[[#This Row],[Consumo Recibo]],2)</f>
        <v>8.5</v>
      </c>
      <c r="S17" s="2">
        <f>ROUND(Tabla424623[[#This Row],[Consumo Medidor]]*Tabla424623[[#This Row],[Valor Unitario]],2)</f>
        <v>119</v>
      </c>
      <c r="T17" s="17">
        <f>Tabla424623[[#This Row],[Total a Pagar]]/Tabla424623[[#This Row],[Importe Recibo]]</f>
        <v>0.18412501934086339</v>
      </c>
      <c r="U17" s="2">
        <f>Tabla42422[[#This Row],[Total a Pagar]]</f>
        <v>110.08</v>
      </c>
      <c r="V17" s="2">
        <f>Tabla424623[[#This Row],[Total a Pagar]]</f>
        <v>119</v>
      </c>
      <c r="W17" s="2">
        <f>ROUND(Tabla_Departamento_Antiguo[[#This Row],[Total Luz]]+Tabla_Departamento_Antiguo[[#This Row],[Total Agua]],2)</f>
        <v>229.08</v>
      </c>
      <c r="X17" s="14"/>
    </row>
    <row r="18" spans="1:24" x14ac:dyDescent="0.25">
      <c r="A18">
        <v>2025</v>
      </c>
      <c r="B18" s="8" t="s">
        <v>3</v>
      </c>
      <c r="C18" s="1">
        <v>7507</v>
      </c>
      <c r="D18" s="1">
        <v>7344</v>
      </c>
      <c r="E18" s="4">
        <f>Tabla42422[[#This Row],[Lectura Medidor Actual]]-Tabla42422[[#This Row],[Lectura Medidor Anterior]]</f>
        <v>163</v>
      </c>
      <c r="F18" s="7">
        <f>Tabla_Luz[[#This Row],[Importe Recibo]]</f>
        <v>380.5</v>
      </c>
      <c r="G18" s="1">
        <f>Tabla_Luz[[#This Row],[Consumo Recibo]]</f>
        <v>449</v>
      </c>
      <c r="H18" s="5">
        <f>ROUND(Tabla42422[[#This Row],[Importe Recibo]]/Tabla42422[[#This Row],[Consumo Recibo]],2)</f>
        <v>0.85</v>
      </c>
      <c r="I18" s="2">
        <f>ROUND(Tabla42422[[#This Row],[Consumo Medidor]]*Tabla42422[[#This Row],[Valor Unitario]],2)</f>
        <v>138.55000000000001</v>
      </c>
      <c r="J18" s="17">
        <f>Tabla42422[[#This Row],[Total a Pagar]]/Tabla42422[[#This Row],[Importe Recibo]]</f>
        <v>0.36412614980289099</v>
      </c>
      <c r="K18">
        <v>2025</v>
      </c>
      <c r="L18" s="8" t="s">
        <v>3</v>
      </c>
      <c r="M18" s="1">
        <v>912</v>
      </c>
      <c r="N18" s="1">
        <v>899</v>
      </c>
      <c r="O18" s="4">
        <f>Tabla424623[[#This Row],[Lectura Medidor Actual]]-Tabla424623[[#This Row],[Lectura Medidor Anterior]]</f>
        <v>13</v>
      </c>
      <c r="P18" s="7">
        <f>Tabla_Agua[[#This Row],[Importe Recibo]]</f>
        <v>663.3</v>
      </c>
      <c r="Q18" s="1">
        <f>Tabla_Agua[[#This Row],[Consumo Recibo]]</f>
        <v>79</v>
      </c>
      <c r="R18" s="5">
        <f>ROUND(Tabla424623[[#This Row],[Importe Recibo]]/Tabla424623[[#This Row],[Consumo Recibo]],2)</f>
        <v>8.4</v>
      </c>
      <c r="S18" s="2">
        <f>ROUND(Tabla424623[[#This Row],[Consumo Medidor]]*Tabla424623[[#This Row],[Valor Unitario]],2)</f>
        <v>109.2</v>
      </c>
      <c r="T18" s="17">
        <f>Tabla424623[[#This Row],[Total a Pagar]]/Tabla424623[[#This Row],[Importe Recibo]]</f>
        <v>0.16463138851198555</v>
      </c>
      <c r="U18" s="2">
        <f>Tabla42422[[#This Row],[Total a Pagar]]</f>
        <v>138.55000000000001</v>
      </c>
      <c r="V18" s="2">
        <f>Tabla424623[[#This Row],[Total a Pagar]]</f>
        <v>109.2</v>
      </c>
      <c r="W18" s="2">
        <f>ROUND(Tabla_Departamento_Antiguo[[#This Row],[Total Luz]]+Tabla_Departamento_Antiguo[[#This Row],[Total Agua]],2)</f>
        <v>247.75</v>
      </c>
      <c r="X18" s="14"/>
    </row>
    <row r="19" spans="1:24" x14ac:dyDescent="0.25">
      <c r="A19">
        <v>2025</v>
      </c>
      <c r="B19" s="8" t="s">
        <v>4</v>
      </c>
      <c r="C19" s="1">
        <v>7653</v>
      </c>
      <c r="D19" s="1">
        <v>7505</v>
      </c>
      <c r="E19" s="4">
        <f>Tabla42422[[#This Row],[Lectura Medidor Actual]]-Tabla42422[[#This Row],[Lectura Medidor Anterior]]</f>
        <v>148</v>
      </c>
      <c r="F19" s="7">
        <f>Tabla_Luz[[#This Row],[Importe Recibo]]</f>
        <v>411</v>
      </c>
      <c r="G19" s="1">
        <f>Tabla_Luz[[#This Row],[Consumo Recibo]]</f>
        <v>490</v>
      </c>
      <c r="H19" s="5">
        <f>ROUND(Tabla42422[[#This Row],[Importe Recibo]]/Tabla42422[[#This Row],[Consumo Recibo]],2)</f>
        <v>0.84</v>
      </c>
      <c r="I19" s="2">
        <f>ROUND(Tabla42422[[#This Row],[Consumo Medidor]]*Tabla42422[[#This Row],[Valor Unitario]],2)</f>
        <v>124.32</v>
      </c>
      <c r="J19" s="17">
        <f>Tabla42422[[#This Row],[Total a Pagar]]/Tabla42422[[#This Row],[Importe Recibo]]</f>
        <v>0.30248175182481751</v>
      </c>
      <c r="K19">
        <v>2025</v>
      </c>
      <c r="L19" s="8" t="s">
        <v>4</v>
      </c>
      <c r="M19" s="1">
        <v>922</v>
      </c>
      <c r="N19" s="1">
        <v>912</v>
      </c>
      <c r="O19" s="4">
        <f>Tabla424623[[#This Row],[Lectura Medidor Actual]]-Tabla424623[[#This Row],[Lectura Medidor Anterior]]</f>
        <v>10</v>
      </c>
      <c r="P19" s="7">
        <f>Tabla_Agua[[#This Row],[Importe Recibo]]</f>
        <v>576</v>
      </c>
      <c r="Q19" s="1">
        <f>Tabla_Agua[[#This Row],[Consumo Recibo]]</f>
        <v>68</v>
      </c>
      <c r="R19" s="5">
        <f>ROUND(Tabla424623[[#This Row],[Importe Recibo]]/Tabla424623[[#This Row],[Consumo Recibo]],2)</f>
        <v>8.4700000000000006</v>
      </c>
      <c r="S19" s="2">
        <f>ROUND(Tabla424623[[#This Row],[Consumo Medidor]]*Tabla424623[[#This Row],[Valor Unitario]],2)</f>
        <v>84.7</v>
      </c>
      <c r="T19" s="17">
        <f>Tabla424623[[#This Row],[Total a Pagar]]/Tabla424623[[#This Row],[Importe Recibo]]</f>
        <v>0.14704861111111112</v>
      </c>
      <c r="U19" s="2">
        <f>Tabla42422[[#This Row],[Total a Pagar]]</f>
        <v>124.32</v>
      </c>
      <c r="V19" s="2">
        <f>Tabla424623[[#This Row],[Total a Pagar]]</f>
        <v>84.7</v>
      </c>
      <c r="W19" s="2">
        <f>ROUND(Tabla_Departamento_Antiguo[[#This Row],[Total Luz]]+Tabla_Departamento_Antiguo[[#This Row],[Total Agua]],2)</f>
        <v>209.02</v>
      </c>
      <c r="X19" s="14"/>
    </row>
    <row r="20" spans="1:24" x14ac:dyDescent="0.25">
      <c r="A20">
        <v>2025</v>
      </c>
      <c r="B20" s="8" t="s">
        <v>5</v>
      </c>
      <c r="C20" s="1">
        <v>7769</v>
      </c>
      <c r="D20" s="1">
        <v>7653</v>
      </c>
      <c r="E20" s="4">
        <f>Tabla42422[[#This Row],[Lectura Medidor Actual]]-Tabla42422[[#This Row],[Lectura Medidor Anterior]]</f>
        <v>116</v>
      </c>
      <c r="F20" s="7">
        <f>Tabla_Luz[[#This Row],[Importe Recibo]]</f>
        <v>411.59</v>
      </c>
      <c r="G20" s="1">
        <f>Tabla_Luz[[#This Row],[Consumo Recibo]]</f>
        <v>493</v>
      </c>
      <c r="H20" s="5">
        <f>ROUND(Tabla42422[[#This Row],[Importe Recibo]]/Tabla42422[[#This Row],[Consumo Recibo]],2)</f>
        <v>0.83</v>
      </c>
      <c r="I20" s="2">
        <f>ROUND(Tabla42422[[#This Row],[Consumo Medidor]]*Tabla42422[[#This Row],[Valor Unitario]],2)</f>
        <v>96.28</v>
      </c>
      <c r="J20" s="17">
        <f>Tabla42422[[#This Row],[Total a Pagar]]/Tabla42422[[#This Row],[Importe Recibo]]</f>
        <v>0.23392210695109211</v>
      </c>
      <c r="K20">
        <v>2025</v>
      </c>
      <c r="L20" s="8" t="s">
        <v>5</v>
      </c>
      <c r="M20" s="1">
        <v>931</v>
      </c>
      <c r="N20" s="1">
        <v>922</v>
      </c>
      <c r="O20" s="4">
        <f>Tabla424623[[#This Row],[Lectura Medidor Actual]]-Tabla424623[[#This Row],[Lectura Medidor Anterior]]</f>
        <v>9</v>
      </c>
      <c r="P20" s="7">
        <f>Tabla_Agua[[#This Row],[Importe Recibo]]</f>
        <v>609.20000000000005</v>
      </c>
      <c r="Q20" s="1">
        <f>Tabla_Agua[[#This Row],[Consumo Recibo]]</f>
        <v>72</v>
      </c>
      <c r="R20" s="5">
        <f>ROUND(Tabla424623[[#This Row],[Importe Recibo]]/Tabla424623[[#This Row],[Consumo Recibo]],2)</f>
        <v>8.4600000000000009</v>
      </c>
      <c r="S20" s="2">
        <f>ROUND(Tabla424623[[#This Row],[Consumo Medidor]]*Tabla424623[[#This Row],[Valor Unitario]],2)</f>
        <v>76.14</v>
      </c>
      <c r="T20" s="17">
        <f>Tabla424623[[#This Row],[Total a Pagar]]/Tabla424623[[#This Row],[Importe Recibo]]</f>
        <v>0.12498358502954694</v>
      </c>
      <c r="U20" s="2">
        <f>Tabla42422[[#This Row],[Total a Pagar]]</f>
        <v>96.28</v>
      </c>
      <c r="V20" s="2">
        <f>Tabla424623[[#This Row],[Total a Pagar]]</f>
        <v>76.14</v>
      </c>
      <c r="W20" s="2">
        <f>ROUND(Tabla_Departamento_Antiguo[[#This Row],[Total Luz]]+Tabla_Departamento_Antiguo[[#This Row],[Total Agua]],2)</f>
        <v>172.42</v>
      </c>
      <c r="X20" s="14"/>
    </row>
    <row r="21" spans="1:24" x14ac:dyDescent="0.25">
      <c r="A21">
        <v>2025</v>
      </c>
      <c r="B21" s="8" t="s">
        <v>6</v>
      </c>
      <c r="C21" s="1">
        <v>7909</v>
      </c>
      <c r="D21" s="1">
        <v>7769</v>
      </c>
      <c r="E21" s="4">
        <f>Tabla42422[[#This Row],[Lectura Medidor Actual]]-Tabla42422[[#This Row],[Lectura Medidor Anterior]]</f>
        <v>140</v>
      </c>
      <c r="F21" s="7">
        <f>Tabla_Luz[[#This Row],[Importe Recibo]]</f>
        <v>479.41</v>
      </c>
      <c r="G21" s="1">
        <f>Tabla_Luz[[#This Row],[Consumo Recibo]]</f>
        <v>553</v>
      </c>
      <c r="H21" s="5">
        <f>ROUND(Tabla42422[[#This Row],[Importe Recibo]]/Tabla42422[[#This Row],[Consumo Recibo]],2)</f>
        <v>0.87</v>
      </c>
      <c r="I21" s="2">
        <f>ROUND(Tabla42422[[#This Row],[Consumo Medidor]]*Tabla42422[[#This Row],[Valor Unitario]],2)</f>
        <v>121.8</v>
      </c>
      <c r="J21" s="17">
        <f>Tabla42422[[#This Row],[Total a Pagar]]/Tabla42422[[#This Row],[Importe Recibo]]</f>
        <v>0.25406228489184624</v>
      </c>
      <c r="K21">
        <v>2025</v>
      </c>
      <c r="L21" s="8" t="s">
        <v>6</v>
      </c>
      <c r="M21" s="1">
        <v>938</v>
      </c>
      <c r="N21" s="1">
        <v>931</v>
      </c>
      <c r="O21" s="4">
        <f>Tabla424623[[#This Row],[Lectura Medidor Actual]]-Tabla424623[[#This Row],[Lectura Medidor Anterior]]</f>
        <v>7</v>
      </c>
      <c r="P21" s="7">
        <f>Tabla_Agua[[#This Row],[Importe Recibo]]</f>
        <v>732.5</v>
      </c>
      <c r="Q21" s="1">
        <f>Tabla_Agua[[#This Row],[Consumo Recibo]]</f>
        <v>86</v>
      </c>
      <c r="R21" s="5">
        <f>ROUND(Tabla424623[[#This Row],[Importe Recibo]]/Tabla424623[[#This Row],[Consumo Recibo]],2)</f>
        <v>8.52</v>
      </c>
      <c r="S21" s="2">
        <f>ROUND(Tabla424623[[#This Row],[Consumo Medidor]]*Tabla424623[[#This Row],[Valor Unitario]],2)</f>
        <v>59.64</v>
      </c>
      <c r="T21" s="17">
        <f>Tabla424623[[#This Row],[Total a Pagar]]/Tabla424623[[#This Row],[Importe Recibo]]</f>
        <v>8.1419795221843005E-2</v>
      </c>
      <c r="U21" s="2">
        <f>Tabla42422[[#This Row],[Total a Pagar]]</f>
        <v>121.8</v>
      </c>
      <c r="V21" s="2">
        <f>Tabla424623[[#This Row],[Total a Pagar]]</f>
        <v>59.64</v>
      </c>
      <c r="W21" s="2">
        <f>ROUND(Tabla_Departamento_Antiguo[[#This Row],[Total Luz]]+Tabla_Departamento_Antiguo[[#This Row],[Total Agua]],2)</f>
        <v>181.44</v>
      </c>
      <c r="X21" s="14"/>
    </row>
    <row r="22" spans="1:24" x14ac:dyDescent="0.25">
      <c r="A22">
        <v>2025</v>
      </c>
      <c r="B22" s="8" t="s">
        <v>7</v>
      </c>
      <c r="C22" s="1">
        <v>8055</v>
      </c>
      <c r="D22" s="1">
        <v>7909</v>
      </c>
      <c r="E22" s="4">
        <f>Tabla42422[[#This Row],[Lectura Medidor Actual]]-Tabla42422[[#This Row],[Lectura Medidor Anterior]]</f>
        <v>146</v>
      </c>
      <c r="F22" s="7">
        <f>Tabla_Luz[[#This Row],[Importe Recibo]]</f>
        <v>538.86</v>
      </c>
      <c r="G22" s="1">
        <f>Tabla_Luz[[#This Row],[Consumo Recibo]]</f>
        <v>632</v>
      </c>
      <c r="H22" s="5">
        <f>ROUND(Tabla42422[[#This Row],[Importe Recibo]]/Tabla42422[[#This Row],[Consumo Recibo]],2)</f>
        <v>0.85</v>
      </c>
      <c r="I22" s="2">
        <f>ROUND(Tabla42422[[#This Row],[Consumo Medidor]]*Tabla42422[[#This Row],[Valor Unitario]],2)</f>
        <v>124.1</v>
      </c>
      <c r="J22" s="17">
        <f>Tabla42422[[#This Row],[Total a Pagar]]/Tabla42422[[#This Row],[Importe Recibo]]</f>
        <v>0.23030100582711649</v>
      </c>
      <c r="K22">
        <v>2025</v>
      </c>
      <c r="L22" s="8" t="s">
        <v>7</v>
      </c>
      <c r="M22" s="1">
        <v>946</v>
      </c>
      <c r="N22" s="1">
        <v>938</v>
      </c>
      <c r="O22" s="4">
        <f>Tabla424623[[#This Row],[Lectura Medidor Actual]]-Tabla424623[[#This Row],[Lectura Medidor Anterior]]</f>
        <v>8</v>
      </c>
      <c r="P22" s="7">
        <f>Tabla_Agua[[#This Row],[Importe Recibo]]</f>
        <v>903.6</v>
      </c>
      <c r="Q22" s="1">
        <f>Tabla_Agua[[#This Row],[Consumo Recibo]]</f>
        <v>105</v>
      </c>
      <c r="R22" s="5">
        <f>ROUND(Tabla424623[[#This Row],[Importe Recibo]]/Tabla424623[[#This Row],[Consumo Recibo]],2)</f>
        <v>8.61</v>
      </c>
      <c r="S22" s="2">
        <f>ROUND(Tabla424623[[#This Row],[Consumo Medidor]]*Tabla424623[[#This Row],[Valor Unitario]],2)</f>
        <v>68.88</v>
      </c>
      <c r="T22" s="17">
        <f>Tabla424623[[#This Row],[Total a Pagar]]/Tabla424623[[#This Row],[Importe Recibo]]</f>
        <v>7.6228419654714469E-2</v>
      </c>
      <c r="U22" s="2">
        <f>Tabla42422[[#This Row],[Total a Pagar]]</f>
        <v>124.1</v>
      </c>
      <c r="V22" s="2">
        <f>Tabla424623[[#This Row],[Total a Pagar]]</f>
        <v>68.88</v>
      </c>
      <c r="W22" s="2">
        <f>ROUND(Tabla_Departamento_Antiguo[[#This Row],[Total Luz]]+Tabla_Departamento_Antiguo[[#This Row],[Total Agua]],2)</f>
        <v>192.98</v>
      </c>
      <c r="X22" s="14"/>
    </row>
    <row r="23" spans="1:24" x14ac:dyDescent="0.25">
      <c r="A23">
        <v>2025</v>
      </c>
      <c r="B23" s="8" t="s">
        <v>8</v>
      </c>
      <c r="C23" s="1">
        <v>8268</v>
      </c>
      <c r="D23" s="1">
        <v>8055</v>
      </c>
      <c r="E23" s="4">
        <f>Tabla42422[[#This Row],[Lectura Medidor Actual]]-Tabla42422[[#This Row],[Lectura Medidor Anterior]]</f>
        <v>213</v>
      </c>
      <c r="F23" s="7">
        <f>Tabla_Luz[[#This Row],[Importe Recibo]]</f>
        <v>614.91</v>
      </c>
      <c r="G23" s="1">
        <f>Tabla_Luz[[#This Row],[Consumo Recibo]]</f>
        <v>714</v>
      </c>
      <c r="H23" s="5">
        <f>ROUND(Tabla42422[[#This Row],[Importe Recibo]]/Tabla42422[[#This Row],[Consumo Recibo]],2)</f>
        <v>0.86</v>
      </c>
      <c r="I23" s="2">
        <f>ROUND(Tabla42422[[#This Row],[Consumo Medidor]]*Tabla42422[[#This Row],[Valor Unitario]],2)</f>
        <v>183.18</v>
      </c>
      <c r="J23" s="17">
        <f>Tabla42422[[#This Row],[Total a Pagar]]/Tabla42422[[#This Row],[Importe Recibo]]</f>
        <v>0.29789725325657418</v>
      </c>
      <c r="K23">
        <v>2025</v>
      </c>
      <c r="L23" s="8" t="s">
        <v>8</v>
      </c>
      <c r="M23" s="1">
        <v>961</v>
      </c>
      <c r="N23" s="1">
        <v>946</v>
      </c>
      <c r="O23" s="4">
        <f>Tabla424623[[#This Row],[Lectura Medidor Actual]]-Tabla424623[[#This Row],[Lectura Medidor Anterior]]</f>
        <v>15</v>
      </c>
      <c r="P23" s="7">
        <f>Tabla_Agua[[#This Row],[Importe Recibo]]</f>
        <v>551.6</v>
      </c>
      <c r="Q23" s="1">
        <f>Tabla_Agua[[#This Row],[Consumo Recibo]]</f>
        <v>65</v>
      </c>
      <c r="R23" s="5">
        <f>ROUND(Tabla424623[[#This Row],[Importe Recibo]]/Tabla424623[[#This Row],[Consumo Recibo]],2)</f>
        <v>8.49</v>
      </c>
      <c r="S23" s="2">
        <f>ROUND(Tabla424623[[#This Row],[Consumo Medidor]]*Tabla424623[[#This Row],[Valor Unitario]],2)</f>
        <v>127.35</v>
      </c>
      <c r="T23" s="17">
        <f>Tabla424623[[#This Row],[Total a Pagar]]/Tabla424623[[#This Row],[Importe Recibo]]</f>
        <v>0.2308738216098622</v>
      </c>
      <c r="U23" s="2">
        <f>Tabla42422[[#This Row],[Total a Pagar]]</f>
        <v>183.18</v>
      </c>
      <c r="V23" s="2">
        <f>Tabla424623[[#This Row],[Total a Pagar]]</f>
        <v>127.35</v>
      </c>
      <c r="W23" s="2">
        <f>ROUND(Tabla_Departamento_Antiguo[[#This Row],[Total Luz]]+Tabla_Departamento_Antiguo[[#This Row],[Total Agua]],2)</f>
        <v>310.52999999999997</v>
      </c>
      <c r="X23" s="14"/>
    </row>
    <row r="24" spans="1:24" x14ac:dyDescent="0.25">
      <c r="A24">
        <v>2025</v>
      </c>
      <c r="B24" s="8" t="s">
        <v>9</v>
      </c>
      <c r="C24" s="1">
        <v>8406</v>
      </c>
      <c r="D24" s="1">
        <v>8268</v>
      </c>
      <c r="E24" s="4">
        <f>Tabla42422[[#This Row],[Lectura Medidor Actual]]-Tabla42422[[#This Row],[Lectura Medidor Anterior]]</f>
        <v>138</v>
      </c>
      <c r="F24" s="7">
        <f>Tabla_Luz[[#This Row],[Importe Recibo]]</f>
        <v>549</v>
      </c>
      <c r="G24" s="1">
        <f>Tabla_Luz[[#This Row],[Consumo Recibo]]</f>
        <v>650</v>
      </c>
      <c r="H24" s="5">
        <f>ROUND(Tabla42422[[#This Row],[Importe Recibo]]/Tabla42422[[#This Row],[Consumo Recibo]],2)</f>
        <v>0.84</v>
      </c>
      <c r="I24" s="2">
        <f>ROUND(Tabla42422[[#This Row],[Consumo Medidor]]*Tabla42422[[#This Row],[Valor Unitario]],2)</f>
        <v>115.92</v>
      </c>
      <c r="J24" s="17">
        <f>Tabla42422[[#This Row],[Total a Pagar]]/Tabla42422[[#This Row],[Importe Recibo]]</f>
        <v>0.21114754098360655</v>
      </c>
      <c r="K24">
        <v>2025</v>
      </c>
      <c r="L24" s="8" t="s">
        <v>9</v>
      </c>
      <c r="M24" s="1">
        <v>970</v>
      </c>
      <c r="N24" s="1">
        <v>961</v>
      </c>
      <c r="O24" s="4">
        <f>Tabla424623[[#This Row],[Lectura Medidor Actual]]-Tabla424623[[#This Row],[Lectura Medidor Anterior]]</f>
        <v>9</v>
      </c>
      <c r="P24" s="7">
        <f>Tabla_Agua[[#This Row],[Importe Recibo]]</f>
        <v>1136.9000000000001</v>
      </c>
      <c r="Q24" s="1">
        <f>Tabla_Agua[[#This Row],[Consumo Recibo]]</f>
        <v>130</v>
      </c>
      <c r="R24" s="5">
        <f>ROUND(Tabla424623[[#This Row],[Importe Recibo]]/Tabla424623[[#This Row],[Consumo Recibo]],2)</f>
        <v>8.75</v>
      </c>
      <c r="S24" s="2">
        <f>ROUND(Tabla424623[[#This Row],[Consumo Medidor]]*Tabla424623[[#This Row],[Valor Unitario]],2)</f>
        <v>78.75</v>
      </c>
      <c r="T24" s="17">
        <f>Tabla424623[[#This Row],[Total a Pagar]]/Tabla424623[[#This Row],[Importe Recibo]]</f>
        <v>6.926730583164746E-2</v>
      </c>
      <c r="U24" s="2">
        <f>Tabla42422[[#This Row],[Total a Pagar]]</f>
        <v>115.92</v>
      </c>
      <c r="V24" s="2">
        <f>Tabla424623[[#This Row],[Total a Pagar]]</f>
        <v>78.75</v>
      </c>
      <c r="W24" s="2">
        <f>ROUND(Tabla_Departamento_Antiguo[[#This Row],[Total Luz]]+Tabla_Departamento_Antiguo[[#This Row],[Total Agua]],2)</f>
        <v>194.67</v>
      </c>
      <c r="X24" s="14"/>
    </row>
    <row r="25" spans="1:24" x14ac:dyDescent="0.25">
      <c r="A25">
        <v>2025</v>
      </c>
      <c r="B25" s="8" t="s">
        <v>32</v>
      </c>
      <c r="C25" s="1">
        <v>8588</v>
      </c>
      <c r="D25" s="1">
        <v>8406</v>
      </c>
      <c r="E25" s="4">
        <f>Tabla42422[[#This Row],[Lectura Medidor Actual]]-Tabla42422[[#This Row],[Lectura Medidor Anterior]]</f>
        <v>182</v>
      </c>
      <c r="F25" s="7">
        <f>Tabla_Luz[[#This Row],[Importe Recibo]]</f>
        <v>500</v>
      </c>
      <c r="G25" s="1">
        <f>Tabla_Luz[[#This Row],[Consumo Recibo]]</f>
        <v>595</v>
      </c>
      <c r="H25" s="5">
        <f>ROUND(Tabla42422[[#This Row],[Importe Recibo]]/Tabla42422[[#This Row],[Consumo Recibo]],2)</f>
        <v>0.84</v>
      </c>
      <c r="I25" s="2">
        <f>ROUND(Tabla42422[[#This Row],[Consumo Medidor]]*Tabla42422[[#This Row],[Valor Unitario]],2)</f>
        <v>152.88</v>
      </c>
      <c r="J25" s="17">
        <f>Tabla42422[[#This Row],[Total a Pagar]]/Tabla42422[[#This Row],[Importe Recibo]]</f>
        <v>0.30575999999999998</v>
      </c>
      <c r="K25">
        <v>2025</v>
      </c>
      <c r="L25" s="8" t="s">
        <v>32</v>
      </c>
      <c r="M25" s="1">
        <v>984</v>
      </c>
      <c r="N25" s="1">
        <v>970</v>
      </c>
      <c r="O25" s="4">
        <f>Tabla424623[[#This Row],[Lectura Medidor Actual]]-Tabla424623[[#This Row],[Lectura Medidor Anterior]]</f>
        <v>14</v>
      </c>
      <c r="P25" s="7">
        <f>Tabla_Agua[[#This Row],[Importe Recibo]]</f>
        <v>715.3</v>
      </c>
      <c r="Q25" s="1">
        <f>Tabla_Agua[[#This Row],[Consumo Recibo]]</f>
        <v>84</v>
      </c>
      <c r="R25" s="5">
        <f>ROUND(Tabla424623[[#This Row],[Importe Recibo]]/Tabla424623[[#This Row],[Consumo Recibo]],2)</f>
        <v>8.52</v>
      </c>
      <c r="S25" s="2">
        <f>ROUND(Tabla424623[[#This Row],[Consumo Medidor]]*Tabla424623[[#This Row],[Valor Unitario]],2)</f>
        <v>119.28</v>
      </c>
      <c r="T25" s="17">
        <f>Tabla424623[[#This Row],[Total a Pagar]]/Tabla424623[[#This Row],[Importe Recibo]]</f>
        <v>0.16675520760520063</v>
      </c>
      <c r="U25" s="2">
        <f>Tabla42422[[#This Row],[Total a Pagar]]</f>
        <v>152.88</v>
      </c>
      <c r="V25" s="2">
        <f>Tabla424623[[#This Row],[Total a Pagar]]</f>
        <v>119.28</v>
      </c>
      <c r="W25" s="2">
        <f>ROUND(Tabla_Departamento_Antiguo[[#This Row],[Total Luz]]+Tabla_Departamento_Antiguo[[#This Row],[Total Agua]],2)</f>
        <v>272.16000000000003</v>
      </c>
      <c r="X25" s="14"/>
    </row>
    <row r="26" spans="1:24" x14ac:dyDescent="0.25">
      <c r="A26">
        <v>2025</v>
      </c>
      <c r="B26" s="8" t="s">
        <v>34</v>
      </c>
      <c r="C26" s="1">
        <v>8737</v>
      </c>
      <c r="D26" s="1">
        <v>8588</v>
      </c>
      <c r="E26" s="4">
        <f>Tabla42422[[#This Row],[Lectura Medidor Actual]]-Tabla42422[[#This Row],[Lectura Medidor Anterior]]</f>
        <v>149</v>
      </c>
      <c r="F26" s="7">
        <f>Tabla_Luz[[#This Row],[Importe Recibo]]</f>
        <v>449.5</v>
      </c>
      <c r="G26" s="1">
        <f>Tabla_Luz[[#This Row],[Consumo Recibo]]</f>
        <v>542</v>
      </c>
      <c r="H26" s="5">
        <f>ROUND(Tabla42422[[#This Row],[Importe Recibo]]/Tabla42422[[#This Row],[Consumo Recibo]],2)</f>
        <v>0.83</v>
      </c>
      <c r="I26" s="2">
        <f>ROUND(Tabla42422[[#This Row],[Consumo Medidor]]*Tabla42422[[#This Row],[Valor Unitario]],2)</f>
        <v>123.67</v>
      </c>
      <c r="J26" s="17">
        <f>Tabla42422[[#This Row],[Total a Pagar]]/Tabla42422[[#This Row],[Importe Recibo]]</f>
        <v>0.27512791991101226</v>
      </c>
      <c r="K26">
        <v>2025</v>
      </c>
      <c r="L26" s="8" t="s">
        <v>34</v>
      </c>
      <c r="M26" s="1">
        <v>1001</v>
      </c>
      <c r="N26" s="1">
        <v>984</v>
      </c>
      <c r="O26" s="4">
        <f>Tabla424623[[#This Row],[Lectura Medidor Actual]]-Tabla424623[[#This Row],[Lectura Medidor Anterior]]</f>
        <v>17</v>
      </c>
      <c r="P26" s="7">
        <f>Tabla_Agua[[#This Row],[Importe Recibo]]</f>
        <v>981</v>
      </c>
      <c r="Q26" s="1">
        <f>Tabla_Agua[[#This Row],[Consumo Recibo]]</f>
        <v>114</v>
      </c>
      <c r="R26" s="5">
        <f>ROUND(Tabla424623[[#This Row],[Importe Recibo]]/Tabla424623[[#This Row],[Consumo Recibo]],2)</f>
        <v>8.61</v>
      </c>
      <c r="S26" s="2">
        <f>ROUND(Tabla424623[[#This Row],[Consumo Medidor]]*Tabla424623[[#This Row],[Valor Unitario]],2)</f>
        <v>146.37</v>
      </c>
      <c r="T26" s="17">
        <f>Tabla424623[[#This Row],[Total a Pagar]]/Tabla424623[[#This Row],[Importe Recibo]]</f>
        <v>0.14920489296636086</v>
      </c>
      <c r="U26" s="2">
        <f>Tabla42422[[#This Row],[Total a Pagar]]</f>
        <v>123.67</v>
      </c>
      <c r="V26" s="2">
        <f>Tabla424623[[#This Row],[Total a Pagar]]</f>
        <v>146.37</v>
      </c>
      <c r="W26" s="2">
        <f>ROUND(Tabla_Departamento_Antiguo[[#This Row],[Total Luz]]+Tabla_Departamento_Antiguo[[#This Row],[Total Agua]],2)</f>
        <v>270.04000000000002</v>
      </c>
      <c r="X26" s="14"/>
    </row>
    <row r="27" spans="1:24" x14ac:dyDescent="0.25">
      <c r="A27">
        <v>2025</v>
      </c>
      <c r="B27" s="8" t="s">
        <v>35</v>
      </c>
      <c r="C27" s="1">
        <v>8904</v>
      </c>
      <c r="D27" s="1">
        <v>8737</v>
      </c>
      <c r="E27" s="4">
        <f>Tabla42422[[#This Row],[Lectura Medidor Actual]]-Tabla42422[[#This Row],[Lectura Medidor Anterior]]</f>
        <v>167</v>
      </c>
      <c r="F27" s="7">
        <f>Tabla_Luz[[#This Row],[Importe Recibo]]</f>
        <v>414</v>
      </c>
      <c r="G27" s="1">
        <f>Tabla_Luz[[#This Row],[Consumo Recibo]]</f>
        <v>513</v>
      </c>
      <c r="H27" s="5">
        <f>ROUND(Tabla42422[[#This Row],[Importe Recibo]]/Tabla42422[[#This Row],[Consumo Recibo]],2)</f>
        <v>0.81</v>
      </c>
      <c r="I27" s="2">
        <f>ROUND(Tabla42422[[#This Row],[Consumo Medidor]]*Tabla42422[[#This Row],[Valor Unitario]],2)</f>
        <v>135.27000000000001</v>
      </c>
      <c r="J27" s="17">
        <f>Tabla42422[[#This Row],[Total a Pagar]]/Tabla42422[[#This Row],[Importe Recibo]]</f>
        <v>0.32673913043478264</v>
      </c>
      <c r="K27">
        <v>2025</v>
      </c>
      <c r="L27" s="8" t="s">
        <v>35</v>
      </c>
      <c r="M27" s="1">
        <v>1019</v>
      </c>
      <c r="N27" s="1">
        <v>1001</v>
      </c>
      <c r="O27" s="4">
        <f>Tabla424623[[#This Row],[Lectura Medidor Actual]]-Tabla424623[[#This Row],[Lectura Medidor Anterior]]</f>
        <v>18</v>
      </c>
      <c r="P27" s="7">
        <f>Tabla_Agua[[#This Row],[Importe Recibo]]</f>
        <v>745.1</v>
      </c>
      <c r="Q27" s="1">
        <f>Tabla_Agua[[#This Row],[Consumo Recibo]]</f>
        <v>88</v>
      </c>
      <c r="R27" s="5">
        <f>ROUND(Tabla424623[[#This Row],[Importe Recibo]]/Tabla424623[[#This Row],[Consumo Recibo]],2)</f>
        <v>8.4700000000000006</v>
      </c>
      <c r="S27" s="2">
        <f>ROUND(Tabla424623[[#This Row],[Consumo Medidor]]*Tabla424623[[#This Row],[Valor Unitario]],2)</f>
        <v>152.46</v>
      </c>
      <c r="T27" s="17">
        <f>Tabla424623[[#This Row],[Total a Pagar]]/Tabla424623[[#This Row],[Importe Recibo]]</f>
        <v>0.20461682995571065</v>
      </c>
      <c r="U27" s="2">
        <f>Tabla42422[[#This Row],[Total a Pagar]]</f>
        <v>135.27000000000001</v>
      </c>
      <c r="V27" s="2">
        <f>Tabla424623[[#This Row],[Total a Pagar]]</f>
        <v>152.46</v>
      </c>
      <c r="W27" s="2">
        <f>ROUND(Tabla_Departamento_Antiguo[[#This Row],[Total Luz]]+Tabla_Departamento_Antiguo[[#This Row],[Total Agua]],2)</f>
        <v>287.73</v>
      </c>
      <c r="X27" s="14"/>
    </row>
    <row r="28" spans="1:24" x14ac:dyDescent="0.25">
      <c r="A28">
        <v>2026</v>
      </c>
      <c r="B28" s="8" t="s">
        <v>1</v>
      </c>
      <c r="C28" s="1">
        <v>8926</v>
      </c>
      <c r="D28" s="1">
        <v>8904</v>
      </c>
      <c r="E28" s="4">
        <f>Tabla42422[[#This Row],[Lectura Medidor Actual]]-Tabla42422[[#This Row],[Lectura Medidor Anterior]]</f>
        <v>22</v>
      </c>
      <c r="F28" s="7">
        <f>Tabla_Luz[[#This Row],[Importe Recibo]]</f>
        <v>475</v>
      </c>
      <c r="G28" s="1">
        <f>Tabla_Luz[[#This Row],[Consumo Recibo]]</f>
        <v>584</v>
      </c>
      <c r="H28" s="5">
        <f>ROUND(Tabla42422[[#This Row],[Importe Recibo]]/Tabla42422[[#This Row],[Consumo Recibo]],2)</f>
        <v>0.81</v>
      </c>
      <c r="I28" s="2">
        <f>ROUND(Tabla42422[[#This Row],[Consumo Medidor]]*Tabla42422[[#This Row],[Valor Unitario]],2)</f>
        <v>17.82</v>
      </c>
      <c r="J28" s="17">
        <f>Tabla42422[[#This Row],[Total a Pagar]]/Tabla42422[[#This Row],[Importe Recibo]]</f>
        <v>3.7515789473684211E-2</v>
      </c>
      <c r="K28">
        <v>2026</v>
      </c>
      <c r="L28" s="8" t="s">
        <v>1</v>
      </c>
      <c r="M28" s="1">
        <v>1024</v>
      </c>
      <c r="N28" s="1">
        <v>1019</v>
      </c>
      <c r="O28" s="4">
        <f>Tabla424623[[#This Row],[Lectura Medidor Actual]]-Tabla424623[[#This Row],[Lectura Medidor Anterior]]</f>
        <v>5</v>
      </c>
      <c r="P28" s="7">
        <f>Tabla_Agua[[#This Row],[Importe Recibo]]</f>
        <v>773.6</v>
      </c>
      <c r="Q28" s="1">
        <f>Tabla_Agua[[#This Row],[Consumo Recibo]]</f>
        <v>91</v>
      </c>
      <c r="R28" s="5">
        <f>ROUND(Tabla424623[[#This Row],[Importe Recibo]]/Tabla424623[[#This Row],[Consumo Recibo]],2)</f>
        <v>8.5</v>
      </c>
      <c r="S28" s="2">
        <f>ROUND(Tabla424623[[#This Row],[Consumo Medidor]]*Tabla424623[[#This Row],[Valor Unitario]],2)</f>
        <v>42.5</v>
      </c>
      <c r="T28" s="17">
        <f>Tabla424623[[#This Row],[Total a Pagar]]/Tabla424623[[#This Row],[Importe Recibo]]</f>
        <v>5.4937952430196481E-2</v>
      </c>
      <c r="U28" s="2">
        <f>Tabla42422[[#This Row],[Total a Pagar]]</f>
        <v>17.82</v>
      </c>
      <c r="V28" s="2">
        <f>Tabla424623[[#This Row],[Total a Pagar]]</f>
        <v>42.5</v>
      </c>
      <c r="W28" s="2">
        <f>ROUND(Tabla_Departamento_Antiguo[[#This Row],[Total Luz]]+Tabla_Departamento_Antiguo[[#This Row],[Total Agua]],2)</f>
        <v>60.32</v>
      </c>
      <c r="X28" s="14"/>
    </row>
  </sheetData>
  <mergeCells count="10">
    <mergeCell ref="U1:X1"/>
    <mergeCell ref="U2:X2"/>
    <mergeCell ref="A1:I1"/>
    <mergeCell ref="K1:S1"/>
    <mergeCell ref="A2:B2"/>
    <mergeCell ref="C2:E2"/>
    <mergeCell ref="F2:H2"/>
    <mergeCell ref="K2:L2"/>
    <mergeCell ref="M2:O2"/>
    <mergeCell ref="P2:R2"/>
  </mergeCells>
  <phoneticPr fontId="4" type="noConversion"/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3653C-29D0-448E-9ECD-2702A10ECF20}">
  <sheetPr codeName="Hoja4"/>
  <dimension ref="A1:X28"/>
  <sheetViews>
    <sheetView topLeftCell="I1" zoomScaleNormal="100" workbookViewId="0">
      <selection activeCell="A28" sqref="A28"/>
    </sheetView>
  </sheetViews>
  <sheetFormatPr baseColWidth="10" defaultRowHeight="15" x14ac:dyDescent="0.25"/>
  <cols>
    <col min="1" max="1" width="6.85546875" bestFit="1" customWidth="1"/>
    <col min="2" max="2" width="11" bestFit="1" customWidth="1"/>
    <col min="3" max="3" width="24.140625" bestFit="1" customWidth="1"/>
    <col min="4" max="4" width="26" bestFit="1" customWidth="1"/>
    <col min="5" max="5" width="19.85546875" bestFit="1" customWidth="1"/>
    <col min="6" max="6" width="16.85546875" bestFit="1" customWidth="1"/>
    <col min="7" max="7" width="18" bestFit="1" customWidth="1"/>
    <col min="8" max="8" width="15.7109375" bestFit="1" customWidth="1"/>
    <col min="9" max="9" width="14.42578125" bestFit="1" customWidth="1"/>
    <col min="10" max="10" width="20.42578125" bestFit="1" customWidth="1"/>
    <col min="11" max="11" width="6.85546875" bestFit="1" customWidth="1"/>
    <col min="12" max="12" width="11" bestFit="1" customWidth="1"/>
    <col min="13" max="13" width="24.140625" bestFit="1" customWidth="1"/>
    <col min="14" max="14" width="26" bestFit="1" customWidth="1"/>
    <col min="15" max="15" width="19.85546875" bestFit="1" customWidth="1"/>
    <col min="16" max="16" width="16.85546875" bestFit="1" customWidth="1"/>
    <col min="17" max="17" width="18" bestFit="1" customWidth="1"/>
    <col min="18" max="18" width="15.7109375" bestFit="1" customWidth="1"/>
    <col min="19" max="19" width="14.42578125" bestFit="1" customWidth="1"/>
    <col min="20" max="20" width="20.42578125" bestFit="1" customWidth="1"/>
    <col min="21" max="21" width="11" bestFit="1" customWidth="1"/>
    <col min="22" max="22" width="12.42578125" customWidth="1"/>
    <col min="23" max="23" width="14.28515625" customWidth="1"/>
    <col min="24" max="24" width="16.28515625" bestFit="1" customWidth="1"/>
  </cols>
  <sheetData>
    <row r="1" spans="1:24" ht="26.25" x14ac:dyDescent="0.4">
      <c r="A1" s="46" t="s">
        <v>10</v>
      </c>
      <c r="B1" s="47"/>
      <c r="C1" s="47"/>
      <c r="D1" s="47"/>
      <c r="E1" s="47"/>
      <c r="F1" s="47"/>
      <c r="G1" s="47"/>
      <c r="H1" s="47"/>
      <c r="I1" s="48"/>
      <c r="J1" s="9"/>
      <c r="K1" s="54" t="s">
        <v>12</v>
      </c>
      <c r="L1" s="55"/>
      <c r="M1" s="55"/>
      <c r="N1" s="55"/>
      <c r="O1" s="55"/>
      <c r="P1" s="55"/>
      <c r="Q1" s="55"/>
      <c r="R1" s="55"/>
      <c r="S1" s="56"/>
      <c r="U1" s="41" t="s">
        <v>25</v>
      </c>
      <c r="V1" s="42"/>
      <c r="W1" s="42"/>
      <c r="X1" s="42"/>
    </row>
    <row r="2" spans="1:24" x14ac:dyDescent="0.25">
      <c r="A2" s="52" t="s">
        <v>22</v>
      </c>
      <c r="B2" s="53"/>
      <c r="C2" s="49" t="s">
        <v>20</v>
      </c>
      <c r="D2" s="50"/>
      <c r="E2" s="51"/>
      <c r="F2" s="49" t="s">
        <v>19</v>
      </c>
      <c r="G2" s="50"/>
      <c r="H2" s="51"/>
      <c r="I2" s="6" t="s">
        <v>21</v>
      </c>
      <c r="J2" s="9"/>
      <c r="K2" s="57" t="s">
        <v>22</v>
      </c>
      <c r="L2" s="58"/>
      <c r="M2" s="59" t="s">
        <v>20</v>
      </c>
      <c r="N2" s="60"/>
      <c r="O2" s="61"/>
      <c r="P2" s="59" t="s">
        <v>19</v>
      </c>
      <c r="Q2" s="60"/>
      <c r="R2" s="61"/>
      <c r="S2" s="10" t="s">
        <v>21</v>
      </c>
      <c r="U2" s="62" t="s">
        <v>24</v>
      </c>
      <c r="V2" s="63"/>
      <c r="W2" s="63"/>
      <c r="X2" s="64"/>
    </row>
    <row r="3" spans="1:24" x14ac:dyDescent="0.25">
      <c r="A3" s="11" t="s">
        <v>23</v>
      </c>
      <c r="B3" s="11" t="s">
        <v>0</v>
      </c>
      <c r="C3" s="11" t="s">
        <v>14</v>
      </c>
      <c r="D3" s="11" t="s">
        <v>16</v>
      </c>
      <c r="E3" s="11" t="s">
        <v>15</v>
      </c>
      <c r="F3" s="12" t="s">
        <v>13</v>
      </c>
      <c r="G3" s="11" t="s">
        <v>17</v>
      </c>
      <c r="H3" s="13" t="s">
        <v>11</v>
      </c>
      <c r="I3" s="12" t="s">
        <v>18</v>
      </c>
      <c r="J3" s="15" t="s">
        <v>33</v>
      </c>
      <c r="K3" s="1" t="s">
        <v>23</v>
      </c>
      <c r="L3" s="1" t="s">
        <v>0</v>
      </c>
      <c r="M3" s="1" t="s">
        <v>14</v>
      </c>
      <c r="N3" s="1" t="s">
        <v>16</v>
      </c>
      <c r="O3" s="1" t="s">
        <v>15</v>
      </c>
      <c r="P3" s="1" t="s">
        <v>13</v>
      </c>
      <c r="Q3" s="1" t="s">
        <v>17</v>
      </c>
      <c r="R3" s="1" t="s">
        <v>11</v>
      </c>
      <c r="S3" s="1" t="s">
        <v>18</v>
      </c>
      <c r="T3" s="18" t="s">
        <v>33</v>
      </c>
      <c r="U3" s="14" t="s">
        <v>26</v>
      </c>
      <c r="V3" s="14" t="s">
        <v>27</v>
      </c>
      <c r="W3" s="14" t="s">
        <v>18</v>
      </c>
      <c r="X3" s="14" t="s">
        <v>28</v>
      </c>
    </row>
    <row r="4" spans="1:24" x14ac:dyDescent="0.25">
      <c r="A4" s="3">
        <v>2024</v>
      </c>
      <c r="B4" s="8" t="s">
        <v>1</v>
      </c>
      <c r="C4" s="1">
        <v>0</v>
      </c>
      <c r="D4" s="1">
        <v>0</v>
      </c>
      <c r="E4" s="4">
        <f>Tabla42424[[#This Row],[Lectura Medidor Actual]]-Tabla42424[[#This Row],[Lectura Medidor Anterior]]</f>
        <v>0</v>
      </c>
      <c r="F4" s="7">
        <f>Tabla_Luz[[#This Row],[Importe Recibo]]</f>
        <v>193</v>
      </c>
      <c r="G4" s="1">
        <f>Tabla_Luz[[#This Row],[Consumo Recibo]]</f>
        <v>215</v>
      </c>
      <c r="H4" s="5">
        <f>ROUND(Tabla42424[[#This Row],[Importe Recibo]]/Tabla42424[[#This Row],[Consumo Recibo]],2)</f>
        <v>0.9</v>
      </c>
      <c r="I4" s="2">
        <f>ROUND(Tabla42424[[#This Row],[Consumo Medidor]]*Tabla42424[[#This Row],[Valor Unitario]],2)</f>
        <v>0</v>
      </c>
      <c r="J4" s="16">
        <f>Tabla42424[[#This Row],[Total a Pagar]]/Tabla42424[[#This Row],[Importe Recibo]]</f>
        <v>0</v>
      </c>
      <c r="K4">
        <v>2024</v>
      </c>
      <c r="L4" s="8" t="s">
        <v>1</v>
      </c>
      <c r="M4" s="1">
        <v>0</v>
      </c>
      <c r="N4" s="1">
        <v>0</v>
      </c>
      <c r="O4" s="4">
        <f>Tabla424625[[#This Row],[Lectura Medidor Actual]]-Tabla424625[[#This Row],[Lectura Medidor Anterior]]</f>
        <v>0</v>
      </c>
      <c r="P4" s="7">
        <f>Tabla_Agua[[#This Row],[Importe Recibo]]</f>
        <v>379.2</v>
      </c>
      <c r="Q4" s="1">
        <f>Tabla_Agua[[#This Row],[Consumo Recibo]]</f>
        <v>41</v>
      </c>
      <c r="R4" s="5">
        <f>ROUND(Tabla424625[[#This Row],[Importe Recibo]]/Tabla424625[[#This Row],[Consumo Recibo]],2)</f>
        <v>9.25</v>
      </c>
      <c r="S4" s="2">
        <f>ROUND(Tabla424625[[#This Row],[Consumo Medidor]]*Tabla424625[[#This Row],[Valor Unitario]],2)</f>
        <v>0</v>
      </c>
      <c r="T4" s="17">
        <f>Tabla424625[[#This Row],[Total a Pagar]]/Tabla424625[[#This Row],[Importe Recibo]]</f>
        <v>0</v>
      </c>
      <c r="U4" s="2">
        <f>Tabla42424[[#This Row],[Total a Pagar]]</f>
        <v>0</v>
      </c>
      <c r="V4" s="2">
        <f>Tabla424625[[#This Row],[Total a Pagar]]</f>
        <v>0</v>
      </c>
      <c r="W4" s="2">
        <f>ROUND(Tabla42424[[#This Row],[Total a Pagar]]+Tabla424625[[#This Row],[Total a Pagar]],2)</f>
        <v>0</v>
      </c>
      <c r="X4" s="14" t="s">
        <v>29</v>
      </c>
    </row>
    <row r="5" spans="1:24" x14ac:dyDescent="0.25">
      <c r="A5" s="3">
        <v>2024</v>
      </c>
      <c r="B5" s="8" t="s">
        <v>2</v>
      </c>
      <c r="C5" s="1">
        <v>0</v>
      </c>
      <c r="D5" s="1">
        <v>0</v>
      </c>
      <c r="E5" s="4">
        <f>Tabla42424[[#This Row],[Lectura Medidor Actual]]-Tabla42424[[#This Row],[Lectura Medidor Anterior]]</f>
        <v>0</v>
      </c>
      <c r="F5" s="7">
        <f>Tabla_Luz[[#This Row],[Importe Recibo]]</f>
        <v>259</v>
      </c>
      <c r="G5" s="1">
        <f>Tabla_Luz[[#This Row],[Consumo Recibo]]</f>
        <v>299</v>
      </c>
      <c r="H5" s="5">
        <f>ROUND(Tabla42424[[#This Row],[Importe Recibo]]/Tabla42424[[#This Row],[Consumo Recibo]],2)</f>
        <v>0.87</v>
      </c>
      <c r="I5" s="2">
        <f>ROUND(Tabla42424[[#This Row],[Consumo Medidor]]*Tabla42424[[#This Row],[Valor Unitario]],2)</f>
        <v>0</v>
      </c>
      <c r="J5" s="16">
        <f>Tabla42424[[#This Row],[Total a Pagar]]/Tabla42424[[#This Row],[Importe Recibo]]</f>
        <v>0</v>
      </c>
      <c r="K5">
        <v>2024</v>
      </c>
      <c r="L5" s="8" t="s">
        <v>2</v>
      </c>
      <c r="M5" s="1">
        <v>0</v>
      </c>
      <c r="N5" s="1">
        <v>0</v>
      </c>
      <c r="O5" s="4">
        <f>Tabla424625[[#This Row],[Lectura Medidor Actual]]-Tabla424625[[#This Row],[Lectura Medidor Anterior]]</f>
        <v>0</v>
      </c>
      <c r="P5" s="7">
        <f>Tabla_Agua[[#This Row],[Importe Recibo]]</f>
        <v>302.39999999999998</v>
      </c>
      <c r="Q5" s="1">
        <f>Tabla_Agua[[#This Row],[Consumo Recibo]]</f>
        <v>30</v>
      </c>
      <c r="R5" s="5">
        <f>ROUND(Tabla424625[[#This Row],[Importe Recibo]]/Tabla424625[[#This Row],[Consumo Recibo]],2)</f>
        <v>10.08</v>
      </c>
      <c r="S5" s="2">
        <f>ROUND(Tabla424625[[#This Row],[Consumo Medidor]]*Tabla424625[[#This Row],[Valor Unitario]],2)</f>
        <v>0</v>
      </c>
      <c r="T5" s="17">
        <f>Tabla424625[[#This Row],[Total a Pagar]]/Tabla424625[[#This Row],[Importe Recibo]]</f>
        <v>0</v>
      </c>
      <c r="U5" s="2">
        <f>Tabla42424[[#This Row],[Total a Pagar]]</f>
        <v>0</v>
      </c>
      <c r="V5" s="2">
        <f>Tabla424625[[#This Row],[Total a Pagar]]</f>
        <v>0</v>
      </c>
      <c r="W5" s="2">
        <f>ROUND(Tabla42424[[#This Row],[Total a Pagar]]+Tabla424625[[#This Row],[Total a Pagar]],2)</f>
        <v>0</v>
      </c>
      <c r="X5" s="14" t="s">
        <v>29</v>
      </c>
    </row>
    <row r="6" spans="1:24" x14ac:dyDescent="0.25">
      <c r="A6">
        <v>2024</v>
      </c>
      <c r="B6" s="8" t="s">
        <v>3</v>
      </c>
      <c r="C6" s="1">
        <v>0</v>
      </c>
      <c r="D6" s="1">
        <v>0</v>
      </c>
      <c r="E6" s="4">
        <f>Tabla42424[[#This Row],[Lectura Medidor Actual]]-Tabla42424[[#This Row],[Lectura Medidor Anterior]]</f>
        <v>0</v>
      </c>
      <c r="F6" s="7">
        <f>Tabla_Luz[[#This Row],[Importe Recibo]]</f>
        <v>241</v>
      </c>
      <c r="G6" s="1">
        <f>Tabla_Luz[[#This Row],[Consumo Recibo]]</f>
        <v>282</v>
      </c>
      <c r="H6" s="5">
        <f>ROUND(Tabla42424[[#This Row],[Importe Recibo]]/Tabla42424[[#This Row],[Consumo Recibo]],2)</f>
        <v>0.85</v>
      </c>
      <c r="I6" s="2">
        <f>ROUND(Tabla42424[[#This Row],[Consumo Medidor]]*Tabla42424[[#This Row],[Valor Unitario]],2)</f>
        <v>0</v>
      </c>
      <c r="J6" s="17">
        <f>Tabla42424[[#This Row],[Total a Pagar]]/Tabla42424[[#This Row],[Importe Recibo]]</f>
        <v>0</v>
      </c>
      <c r="K6">
        <v>2024</v>
      </c>
      <c r="L6" s="8" t="s">
        <v>3</v>
      </c>
      <c r="M6" s="1">
        <v>0</v>
      </c>
      <c r="N6" s="1">
        <v>0</v>
      </c>
      <c r="O6" s="4">
        <f>Tabla424625[[#This Row],[Lectura Medidor Actual]]-Tabla424625[[#This Row],[Lectura Medidor Anterior]]</f>
        <v>0</v>
      </c>
      <c r="P6" s="7">
        <f>Tabla_Agua[[#This Row],[Importe Recibo]]</f>
        <v>340.8</v>
      </c>
      <c r="Q6" s="1">
        <f>Tabla_Agua[[#This Row],[Consumo Recibo]]</f>
        <v>34</v>
      </c>
      <c r="R6" s="5">
        <f>ROUND(Tabla424625[[#This Row],[Importe Recibo]]/Tabla424625[[#This Row],[Consumo Recibo]],2)</f>
        <v>10.02</v>
      </c>
      <c r="S6" s="2">
        <f>ROUND(Tabla424625[[#This Row],[Consumo Medidor]]*Tabla424625[[#This Row],[Valor Unitario]],2)</f>
        <v>0</v>
      </c>
      <c r="T6" s="17">
        <f>Tabla424625[[#This Row],[Total a Pagar]]/Tabla424625[[#This Row],[Importe Recibo]]</f>
        <v>0</v>
      </c>
      <c r="U6" s="2">
        <f>Tabla42424[[#This Row],[Total a Pagar]]</f>
        <v>0</v>
      </c>
      <c r="V6" s="2">
        <f>Tabla424625[[#This Row],[Total a Pagar]]</f>
        <v>0</v>
      </c>
      <c r="W6" s="2">
        <f>ROUND(Tabla42424[[#This Row],[Total a Pagar]]+Tabla424625[[#This Row],[Total a Pagar]],2)</f>
        <v>0</v>
      </c>
      <c r="X6" s="14" t="s">
        <v>29</v>
      </c>
    </row>
    <row r="7" spans="1:24" x14ac:dyDescent="0.25">
      <c r="A7">
        <v>2024</v>
      </c>
      <c r="B7" s="8" t="s">
        <v>4</v>
      </c>
      <c r="C7" s="1">
        <v>0</v>
      </c>
      <c r="D7" s="1">
        <v>0</v>
      </c>
      <c r="E7" s="4">
        <f>Tabla42424[[#This Row],[Lectura Medidor Actual]]-Tabla42424[[#This Row],[Lectura Medidor Anterior]]</f>
        <v>0</v>
      </c>
      <c r="F7" s="7">
        <f>Tabla_Luz[[#This Row],[Importe Recibo]]</f>
        <v>337</v>
      </c>
      <c r="G7" s="1">
        <f>Tabla_Luz[[#This Row],[Consumo Recibo]]</f>
        <v>395</v>
      </c>
      <c r="H7" s="5">
        <f>ROUND(Tabla42424[[#This Row],[Importe Recibo]]/Tabla42424[[#This Row],[Consumo Recibo]],2)</f>
        <v>0.85</v>
      </c>
      <c r="I7" s="2">
        <f>ROUND(Tabla42424[[#This Row],[Consumo Medidor]]*Tabla42424[[#This Row],[Valor Unitario]],2)</f>
        <v>0</v>
      </c>
      <c r="J7" s="17">
        <f>Tabla42424[[#This Row],[Total a Pagar]]/Tabla42424[[#This Row],[Importe Recibo]]</f>
        <v>0</v>
      </c>
      <c r="K7">
        <v>2024</v>
      </c>
      <c r="L7" s="8" t="s">
        <v>4</v>
      </c>
      <c r="M7" s="1">
        <v>0</v>
      </c>
      <c r="N7" s="1">
        <v>0</v>
      </c>
      <c r="O7" s="4">
        <f>Tabla424625[[#This Row],[Lectura Medidor Actual]]-Tabla424625[[#This Row],[Lectura Medidor Anterior]]</f>
        <v>0</v>
      </c>
      <c r="P7" s="7">
        <f>Tabla_Agua[[#This Row],[Importe Recibo]]</f>
        <v>359.6</v>
      </c>
      <c r="Q7" s="1">
        <f>Tabla_Agua[[#This Row],[Consumo Recibo]]</f>
        <v>36</v>
      </c>
      <c r="R7" s="5">
        <f>ROUND(Tabla424625[[#This Row],[Importe Recibo]]/Tabla424625[[#This Row],[Consumo Recibo]],2)</f>
        <v>9.99</v>
      </c>
      <c r="S7" s="2">
        <f>ROUND(Tabla424625[[#This Row],[Consumo Medidor]]*Tabla424625[[#This Row],[Valor Unitario]],2)</f>
        <v>0</v>
      </c>
      <c r="T7" s="17">
        <f>Tabla424625[[#This Row],[Total a Pagar]]/Tabla424625[[#This Row],[Importe Recibo]]</f>
        <v>0</v>
      </c>
      <c r="U7" s="2">
        <f>Tabla42424[[#This Row],[Total a Pagar]]</f>
        <v>0</v>
      </c>
      <c r="V7" s="2">
        <f>Tabla424625[[#This Row],[Total a Pagar]]</f>
        <v>0</v>
      </c>
      <c r="W7" s="2">
        <f>ROUND(Tabla42424[[#This Row],[Total a Pagar]]+Tabla424625[[#This Row],[Total a Pagar]],2)</f>
        <v>0</v>
      </c>
      <c r="X7" s="14" t="s">
        <v>29</v>
      </c>
    </row>
    <row r="8" spans="1:24" x14ac:dyDescent="0.25">
      <c r="A8">
        <v>2024</v>
      </c>
      <c r="B8" s="8" t="s">
        <v>5</v>
      </c>
      <c r="C8" s="1">
        <v>0</v>
      </c>
      <c r="D8" s="1">
        <v>0</v>
      </c>
      <c r="E8" s="4">
        <f>Tabla42424[[#This Row],[Lectura Medidor Actual]]-Tabla42424[[#This Row],[Lectura Medidor Anterior]]</f>
        <v>0</v>
      </c>
      <c r="F8" s="7">
        <f>Tabla_Luz[[#This Row],[Importe Recibo]]</f>
        <v>391</v>
      </c>
      <c r="G8" s="1">
        <f>Tabla_Luz[[#This Row],[Consumo Recibo]]</f>
        <v>462</v>
      </c>
      <c r="H8" s="5">
        <f>ROUND(Tabla42424[[#This Row],[Importe Recibo]]/Tabla42424[[#This Row],[Consumo Recibo]],2)</f>
        <v>0.85</v>
      </c>
      <c r="I8" s="2">
        <f>ROUND(Tabla42424[[#This Row],[Consumo Medidor]]*Tabla42424[[#This Row],[Valor Unitario]],2)</f>
        <v>0</v>
      </c>
      <c r="J8" s="17">
        <f>Tabla42424[[#This Row],[Total a Pagar]]/Tabla42424[[#This Row],[Importe Recibo]]</f>
        <v>0</v>
      </c>
      <c r="K8">
        <v>2024</v>
      </c>
      <c r="L8" s="8" t="s">
        <v>5</v>
      </c>
      <c r="M8" s="1">
        <v>0</v>
      </c>
      <c r="N8" s="1">
        <v>0</v>
      </c>
      <c r="O8" s="4">
        <f>Tabla424625[[#This Row],[Lectura Medidor Actual]]-Tabla424625[[#This Row],[Lectura Medidor Anterior]]</f>
        <v>0</v>
      </c>
      <c r="P8" s="7">
        <f>Tabla_Agua[[#This Row],[Importe Recibo]]</f>
        <v>439.3</v>
      </c>
      <c r="Q8" s="1">
        <f>Tabla_Agua[[#This Row],[Consumo Recibo]]</f>
        <v>44</v>
      </c>
      <c r="R8" s="5">
        <f>ROUND(Tabla424625[[#This Row],[Importe Recibo]]/Tabla424625[[#This Row],[Consumo Recibo]],2)</f>
        <v>9.98</v>
      </c>
      <c r="S8" s="2">
        <f>ROUND(Tabla424625[[#This Row],[Consumo Medidor]]*Tabla424625[[#This Row],[Valor Unitario]],2)</f>
        <v>0</v>
      </c>
      <c r="T8" s="17">
        <f>Tabla424625[[#This Row],[Total a Pagar]]/Tabla424625[[#This Row],[Importe Recibo]]</f>
        <v>0</v>
      </c>
      <c r="U8" s="2">
        <f>Tabla42424[[#This Row],[Total a Pagar]]</f>
        <v>0</v>
      </c>
      <c r="V8" s="2">
        <f>Tabla424625[[#This Row],[Total a Pagar]]</f>
        <v>0</v>
      </c>
      <c r="W8" s="2">
        <f>ROUND(Tabla42424[[#This Row],[Total a Pagar]]+Tabla424625[[#This Row],[Total a Pagar]],2)</f>
        <v>0</v>
      </c>
      <c r="X8" s="14" t="s">
        <v>29</v>
      </c>
    </row>
    <row r="9" spans="1:24" x14ac:dyDescent="0.25">
      <c r="A9">
        <v>2024</v>
      </c>
      <c r="B9" s="8" t="s">
        <v>6</v>
      </c>
      <c r="C9" s="1">
        <v>0</v>
      </c>
      <c r="D9" s="1">
        <v>0</v>
      </c>
      <c r="E9" s="4">
        <f>Tabla42424[[#This Row],[Lectura Medidor Actual]]-Tabla42424[[#This Row],[Lectura Medidor Anterior]]</f>
        <v>0</v>
      </c>
      <c r="F9" s="7">
        <f>Tabla_Luz[[#This Row],[Importe Recibo]]</f>
        <v>404.91</v>
      </c>
      <c r="G9" s="1">
        <f>Tabla_Luz[[#This Row],[Consumo Recibo]]</f>
        <v>485</v>
      </c>
      <c r="H9" s="5">
        <f>ROUND(Tabla42424[[#This Row],[Importe Recibo]]/Tabla42424[[#This Row],[Consumo Recibo]],2)</f>
        <v>0.83</v>
      </c>
      <c r="I9" s="2">
        <f>ROUND(Tabla42424[[#This Row],[Consumo Medidor]]*Tabla42424[[#This Row],[Valor Unitario]],2)</f>
        <v>0</v>
      </c>
      <c r="J9" s="17">
        <f>Tabla42424[[#This Row],[Total a Pagar]]/Tabla42424[[#This Row],[Importe Recibo]]</f>
        <v>0</v>
      </c>
      <c r="K9">
        <v>2024</v>
      </c>
      <c r="L9" s="8" t="s">
        <v>6</v>
      </c>
      <c r="M9" s="1">
        <v>0</v>
      </c>
      <c r="N9" s="1">
        <v>0</v>
      </c>
      <c r="O9" s="4">
        <f>Tabla424625[[#This Row],[Lectura Medidor Actual]]-Tabla424625[[#This Row],[Lectura Medidor Anterior]]</f>
        <v>0</v>
      </c>
      <c r="P9" s="7">
        <f>Tabla_Agua[[#This Row],[Importe Recibo]]</f>
        <v>794.3</v>
      </c>
      <c r="Q9" s="1">
        <f>Tabla_Agua[[#This Row],[Consumo Recibo]]</f>
        <v>79</v>
      </c>
      <c r="R9" s="5">
        <f>ROUND(Tabla424625[[#This Row],[Importe Recibo]]/Tabla424625[[#This Row],[Consumo Recibo]],2)</f>
        <v>10.050000000000001</v>
      </c>
      <c r="S9" s="2">
        <f>ROUND(Tabla424625[[#This Row],[Consumo Medidor]]*Tabla424625[[#This Row],[Valor Unitario]],2)</f>
        <v>0</v>
      </c>
      <c r="T9" s="17">
        <f>Tabla424625[[#This Row],[Total a Pagar]]/Tabla424625[[#This Row],[Importe Recibo]]</f>
        <v>0</v>
      </c>
      <c r="U9" s="2">
        <f>Tabla42424[[#This Row],[Total a Pagar]]</f>
        <v>0</v>
      </c>
      <c r="V9" s="2">
        <f>Tabla424625[[#This Row],[Total a Pagar]]</f>
        <v>0</v>
      </c>
      <c r="W9" s="2">
        <f>ROUND(Tabla42424[[#This Row],[Total a Pagar]]+Tabla424625[[#This Row],[Total a Pagar]],2)</f>
        <v>0</v>
      </c>
      <c r="X9" s="14" t="s">
        <v>29</v>
      </c>
    </row>
    <row r="10" spans="1:24" x14ac:dyDescent="0.25">
      <c r="A10">
        <v>2024</v>
      </c>
      <c r="B10" s="8" t="s">
        <v>7</v>
      </c>
      <c r="C10" s="1">
        <v>0</v>
      </c>
      <c r="D10" s="1">
        <v>0</v>
      </c>
      <c r="E10" s="4">
        <f>Tabla42424[[#This Row],[Lectura Medidor Actual]]-Tabla42424[[#This Row],[Lectura Medidor Anterior]]</f>
        <v>0</v>
      </c>
      <c r="F10" s="7">
        <f>Tabla_Luz[[#This Row],[Importe Recibo]]</f>
        <v>456.14</v>
      </c>
      <c r="G10" s="1">
        <f>Tabla_Luz[[#This Row],[Consumo Recibo]]</f>
        <v>510</v>
      </c>
      <c r="H10" s="5">
        <f>ROUND(Tabla42424[[#This Row],[Importe Recibo]]/Tabla42424[[#This Row],[Consumo Recibo]],2)</f>
        <v>0.89</v>
      </c>
      <c r="I10" s="2">
        <f>ROUND(Tabla42424[[#This Row],[Consumo Medidor]]*Tabla42424[[#This Row],[Valor Unitario]],2)</f>
        <v>0</v>
      </c>
      <c r="J10" s="17">
        <f>Tabla42424[[#This Row],[Total a Pagar]]/Tabla42424[[#This Row],[Importe Recibo]]</f>
        <v>0</v>
      </c>
      <c r="K10">
        <v>2024</v>
      </c>
      <c r="L10" s="8" t="s">
        <v>7</v>
      </c>
      <c r="M10" s="1">
        <v>0</v>
      </c>
      <c r="N10" s="1">
        <v>0</v>
      </c>
      <c r="O10" s="4">
        <f>Tabla424625[[#This Row],[Lectura Medidor Actual]]-Tabla424625[[#This Row],[Lectura Medidor Anterior]]</f>
        <v>0</v>
      </c>
      <c r="P10" s="7">
        <f>Tabla_Agua[[#This Row],[Importe Recibo]]</f>
        <v>453.8</v>
      </c>
      <c r="Q10" s="1">
        <f>Tabla_Agua[[#This Row],[Consumo Recibo]]</f>
        <v>53</v>
      </c>
      <c r="R10" s="5">
        <f>ROUND(Tabla424625[[#This Row],[Importe Recibo]]/Tabla424625[[#This Row],[Consumo Recibo]],2)</f>
        <v>8.56</v>
      </c>
      <c r="S10" s="2">
        <f>ROUND(Tabla424625[[#This Row],[Consumo Medidor]]*Tabla424625[[#This Row],[Valor Unitario]],2)</f>
        <v>0</v>
      </c>
      <c r="T10" s="17">
        <f>Tabla424625[[#This Row],[Total a Pagar]]/Tabla424625[[#This Row],[Importe Recibo]]</f>
        <v>0</v>
      </c>
      <c r="U10" s="2">
        <f>Tabla42424[[#This Row],[Total a Pagar]]</f>
        <v>0</v>
      </c>
      <c r="V10" s="2">
        <f>Tabla424625[[#This Row],[Total a Pagar]]</f>
        <v>0</v>
      </c>
      <c r="W10" s="2">
        <f>ROUND(Tabla42424[[#This Row],[Total a Pagar]]+Tabla424625[[#This Row],[Total a Pagar]],2)</f>
        <v>0</v>
      </c>
      <c r="X10" s="14" t="s">
        <v>29</v>
      </c>
    </row>
    <row r="11" spans="1:24" x14ac:dyDescent="0.25">
      <c r="A11">
        <v>2024</v>
      </c>
      <c r="B11" s="8" t="s">
        <v>8</v>
      </c>
      <c r="C11" s="1">
        <v>0</v>
      </c>
      <c r="D11" s="1">
        <v>0</v>
      </c>
      <c r="E11" s="4">
        <f>Tabla42424[[#This Row],[Lectura Medidor Actual]]-Tabla42424[[#This Row],[Lectura Medidor Anterior]]</f>
        <v>0</v>
      </c>
      <c r="F11" s="7">
        <f>Tabla_Luz[[#This Row],[Importe Recibo]]</f>
        <v>501.5</v>
      </c>
      <c r="G11" s="1">
        <f>Tabla_Luz[[#This Row],[Consumo Recibo]]</f>
        <v>560</v>
      </c>
      <c r="H11" s="5">
        <f>ROUND(Tabla42424[[#This Row],[Importe Recibo]]/Tabla42424[[#This Row],[Consumo Recibo]],2)</f>
        <v>0.9</v>
      </c>
      <c r="I11" s="2">
        <f>ROUND(Tabla42424[[#This Row],[Consumo Medidor]]*Tabla42424[[#This Row],[Valor Unitario]],2)</f>
        <v>0</v>
      </c>
      <c r="J11" s="17">
        <f>Tabla42424[[#This Row],[Total a Pagar]]/Tabla42424[[#This Row],[Importe Recibo]]</f>
        <v>0</v>
      </c>
      <c r="K11">
        <v>2024</v>
      </c>
      <c r="L11" s="8" t="s">
        <v>8</v>
      </c>
      <c r="M11" s="1">
        <v>0</v>
      </c>
      <c r="N11" s="1">
        <v>0</v>
      </c>
      <c r="O11" s="4">
        <f>Tabla424625[[#This Row],[Lectura Medidor Actual]]-Tabla424625[[#This Row],[Lectura Medidor Anterior]]</f>
        <v>0</v>
      </c>
      <c r="P11" s="7">
        <f>Tabla_Agua[[#This Row],[Importe Recibo]]</f>
        <v>424.2</v>
      </c>
      <c r="Q11" s="1">
        <f>Tabla_Agua[[#This Row],[Consumo Recibo]]</f>
        <v>50</v>
      </c>
      <c r="R11" s="5">
        <f>ROUND(Tabla424625[[#This Row],[Importe Recibo]]/Tabla424625[[#This Row],[Consumo Recibo]],2)</f>
        <v>8.48</v>
      </c>
      <c r="S11" s="2">
        <f>ROUND(Tabla424625[[#This Row],[Consumo Medidor]]*Tabla424625[[#This Row],[Valor Unitario]],2)</f>
        <v>0</v>
      </c>
      <c r="T11" s="17">
        <f>Tabla424625[[#This Row],[Total a Pagar]]/Tabla424625[[#This Row],[Importe Recibo]]</f>
        <v>0</v>
      </c>
      <c r="U11" s="2">
        <f>Tabla42424[[#This Row],[Total a Pagar]]</f>
        <v>0</v>
      </c>
      <c r="V11" s="2">
        <f>Tabla424625[[#This Row],[Total a Pagar]]</f>
        <v>0</v>
      </c>
      <c r="W11" s="2">
        <f>ROUND(Tabla42424[[#This Row],[Total a Pagar]]+Tabla424625[[#This Row],[Total a Pagar]],2)</f>
        <v>0</v>
      </c>
      <c r="X11" s="14" t="s">
        <v>29</v>
      </c>
    </row>
    <row r="12" spans="1:24" x14ac:dyDescent="0.25">
      <c r="A12">
        <v>2024</v>
      </c>
      <c r="B12" s="8" t="s">
        <v>9</v>
      </c>
      <c r="C12" s="1">
        <v>2</v>
      </c>
      <c r="D12" s="1">
        <v>2</v>
      </c>
      <c r="E12" s="4">
        <f>Tabla42424[[#This Row],[Lectura Medidor Actual]]-Tabla42424[[#This Row],[Lectura Medidor Anterior]]</f>
        <v>0</v>
      </c>
      <c r="F12" s="7">
        <f>Tabla_Luz[[#This Row],[Importe Recibo]]</f>
        <v>512</v>
      </c>
      <c r="G12" s="1">
        <f>Tabla_Luz[[#This Row],[Consumo Recibo]]</f>
        <v>577</v>
      </c>
      <c r="H12" s="5">
        <f>ROUND(Tabla42424[[#This Row],[Importe Recibo]]/Tabla42424[[#This Row],[Consumo Recibo]],2)</f>
        <v>0.89</v>
      </c>
      <c r="I12" s="2">
        <f>ROUND(Tabla42424[[#This Row],[Consumo Medidor]]*Tabla42424[[#This Row],[Valor Unitario]],2)</f>
        <v>0</v>
      </c>
      <c r="J12" s="17">
        <f>Tabla42424[[#This Row],[Total a Pagar]]/Tabla42424[[#This Row],[Importe Recibo]]</f>
        <v>0</v>
      </c>
      <c r="K12">
        <v>2024</v>
      </c>
      <c r="L12" s="8" t="s">
        <v>9</v>
      </c>
      <c r="M12" s="1">
        <v>0</v>
      </c>
      <c r="N12" s="1">
        <v>0</v>
      </c>
      <c r="O12" s="4">
        <f>Tabla424625[[#This Row],[Lectura Medidor Actual]]-Tabla424625[[#This Row],[Lectura Medidor Anterior]]</f>
        <v>0</v>
      </c>
      <c r="P12" s="7">
        <f>Tabla_Agua[[#This Row],[Importe Recibo]]</f>
        <v>455.7</v>
      </c>
      <c r="Q12" s="1">
        <f>Tabla_Agua[[#This Row],[Consumo Recibo]]</f>
        <v>54</v>
      </c>
      <c r="R12" s="5">
        <f>ROUND(Tabla424625[[#This Row],[Importe Recibo]]/Tabla424625[[#This Row],[Consumo Recibo]],2)</f>
        <v>8.44</v>
      </c>
      <c r="S12" s="2">
        <f>ROUND(Tabla424625[[#This Row],[Consumo Medidor]]*Tabla424625[[#This Row],[Valor Unitario]],2)</f>
        <v>0</v>
      </c>
      <c r="T12" s="17">
        <f>Tabla424625[[#This Row],[Total a Pagar]]/Tabla424625[[#This Row],[Importe Recibo]]</f>
        <v>0</v>
      </c>
      <c r="U12" s="2">
        <f>Tabla42424[[#This Row],[Total a Pagar]]</f>
        <v>0</v>
      </c>
      <c r="V12" s="2">
        <f>Tabla424625[[#This Row],[Total a Pagar]]</f>
        <v>0</v>
      </c>
      <c r="W12" s="2">
        <f>ROUND(Tabla42424[[#This Row],[Total a Pagar]]+Tabla424625[[#This Row],[Total a Pagar]],2)</f>
        <v>0</v>
      </c>
      <c r="X12" s="14" t="s">
        <v>29</v>
      </c>
    </row>
    <row r="13" spans="1:24" x14ac:dyDescent="0.25">
      <c r="A13">
        <v>2024</v>
      </c>
      <c r="B13" s="8" t="s">
        <v>32</v>
      </c>
      <c r="C13" s="1">
        <v>57</v>
      </c>
      <c r="D13" s="1">
        <v>2</v>
      </c>
      <c r="E13" s="4">
        <f>Tabla42424[[#This Row],[Lectura Medidor Actual]]-Tabla42424[[#This Row],[Lectura Medidor Anterior]]</f>
        <v>55</v>
      </c>
      <c r="F13" s="7">
        <f>Tabla_Luz[[#This Row],[Importe Recibo]]</f>
        <v>421.5</v>
      </c>
      <c r="G13" s="1">
        <f>Tabla_Luz[[#This Row],[Consumo Recibo]]</f>
        <v>493</v>
      </c>
      <c r="H13" s="5">
        <f>ROUND(Tabla42424[[#This Row],[Importe Recibo]]/Tabla42424[[#This Row],[Consumo Recibo]],2)</f>
        <v>0.85</v>
      </c>
      <c r="I13" s="2">
        <f>ROUND(Tabla42424[[#This Row],[Consumo Medidor]]*Tabla42424[[#This Row],[Valor Unitario]],2)</f>
        <v>46.75</v>
      </c>
      <c r="J13" s="17">
        <f>Tabla42424[[#This Row],[Total a Pagar]]/Tabla42424[[#This Row],[Importe Recibo]]</f>
        <v>0.11091340450771056</v>
      </c>
      <c r="K13">
        <v>2024</v>
      </c>
      <c r="L13" s="8" t="s">
        <v>32</v>
      </c>
      <c r="M13" s="1">
        <v>14</v>
      </c>
      <c r="N13" s="1">
        <v>0</v>
      </c>
      <c r="O13" s="4">
        <f>Tabla424625[[#This Row],[Lectura Medidor Actual]]-Tabla424625[[#This Row],[Lectura Medidor Anterior]]</f>
        <v>14</v>
      </c>
      <c r="P13" s="7">
        <f>Tabla_Agua[[#This Row],[Importe Recibo]]</f>
        <v>441.1</v>
      </c>
      <c r="Q13" s="1">
        <f>Tabla_Agua[[#This Row],[Consumo Recibo]]</f>
        <v>52</v>
      </c>
      <c r="R13" s="5">
        <f>ROUND(Tabla424625[[#This Row],[Importe Recibo]]/Tabla424625[[#This Row],[Consumo Recibo]],2)</f>
        <v>8.48</v>
      </c>
      <c r="S13" s="2">
        <f>ROUND(Tabla424625[[#This Row],[Consumo Medidor]]*Tabla424625[[#This Row],[Valor Unitario]],2)</f>
        <v>118.72</v>
      </c>
      <c r="T13" s="17">
        <f>Tabla424625[[#This Row],[Total a Pagar]]/Tabla424625[[#This Row],[Importe Recibo]]</f>
        <v>0.26914531852187712</v>
      </c>
      <c r="U13" s="2">
        <f>Tabla42424[[#This Row],[Total a Pagar]]</f>
        <v>46.75</v>
      </c>
      <c r="V13" s="2">
        <f>Tabla424625[[#This Row],[Total a Pagar]]</f>
        <v>118.72</v>
      </c>
      <c r="W13" s="2">
        <f>ROUND(Tabla42424[[#This Row],[Total a Pagar]]+Tabla424625[[#This Row],[Total a Pagar]],2)</f>
        <v>165.47</v>
      </c>
      <c r="X13" s="14"/>
    </row>
    <row r="14" spans="1:24" x14ac:dyDescent="0.25">
      <c r="A14">
        <v>2024</v>
      </c>
      <c r="B14" s="8" t="s">
        <v>34</v>
      </c>
      <c r="C14" s="1">
        <v>115</v>
      </c>
      <c r="D14" s="1">
        <v>57</v>
      </c>
      <c r="E14" s="4">
        <f>Tabla42424[[#This Row],[Lectura Medidor Actual]]-Tabla42424[[#This Row],[Lectura Medidor Anterior]]</f>
        <v>58</v>
      </c>
      <c r="F14" s="7">
        <f>Tabla_Luz[[#This Row],[Importe Recibo]]</f>
        <v>384</v>
      </c>
      <c r="G14" s="1">
        <f>Tabla_Luz[[#This Row],[Consumo Recibo]]</f>
        <v>449</v>
      </c>
      <c r="H14" s="5">
        <f>ROUND(Tabla42424[[#This Row],[Importe Recibo]]/Tabla42424[[#This Row],[Consumo Recibo]],2)</f>
        <v>0.86</v>
      </c>
      <c r="I14" s="2">
        <f>ROUND(Tabla42424[[#This Row],[Consumo Medidor]]*Tabla42424[[#This Row],[Valor Unitario]],2)</f>
        <v>49.88</v>
      </c>
      <c r="J14" s="17">
        <f>Tabla42424[[#This Row],[Total a Pagar]]/Tabla42424[[#This Row],[Importe Recibo]]</f>
        <v>0.12989583333333335</v>
      </c>
      <c r="K14">
        <v>2024</v>
      </c>
      <c r="L14" s="8" t="s">
        <v>34</v>
      </c>
      <c r="M14" s="1">
        <v>28</v>
      </c>
      <c r="N14" s="1">
        <v>14</v>
      </c>
      <c r="O14" s="4">
        <f>Tabla424625[[#This Row],[Lectura Medidor Actual]]-Tabla424625[[#This Row],[Lectura Medidor Anterior]]</f>
        <v>14</v>
      </c>
      <c r="P14" s="7">
        <f>Tabla_Agua[[#This Row],[Importe Recibo]]</f>
        <v>616.4</v>
      </c>
      <c r="Q14" s="1">
        <f>Tabla_Agua[[#This Row],[Consumo Recibo]]</f>
        <v>73</v>
      </c>
      <c r="R14" s="5">
        <f>ROUND(Tabla424625[[#This Row],[Importe Recibo]]/Tabla424625[[#This Row],[Consumo Recibo]],2)</f>
        <v>8.44</v>
      </c>
      <c r="S14" s="2">
        <f>ROUND(Tabla424625[[#This Row],[Consumo Medidor]]*Tabla424625[[#This Row],[Valor Unitario]],2)</f>
        <v>118.16</v>
      </c>
      <c r="T14" s="17">
        <f>Tabla424625[[#This Row],[Total a Pagar]]/Tabla424625[[#This Row],[Importe Recibo]]</f>
        <v>0.19169370538611291</v>
      </c>
      <c r="U14" s="2">
        <f>Tabla42424[[#This Row],[Total a Pagar]]</f>
        <v>49.88</v>
      </c>
      <c r="V14" s="2">
        <f>Tabla424625[[#This Row],[Total a Pagar]]</f>
        <v>118.16</v>
      </c>
      <c r="W14" s="2">
        <f>ROUND(Tabla42424[[#This Row],[Total a Pagar]]+Tabla424625[[#This Row],[Total a Pagar]],2)</f>
        <v>168.04</v>
      </c>
      <c r="X14" s="14"/>
    </row>
    <row r="15" spans="1:24" x14ac:dyDescent="0.25">
      <c r="A15">
        <v>2024</v>
      </c>
      <c r="B15" s="8" t="s">
        <v>35</v>
      </c>
      <c r="C15" s="1">
        <v>187</v>
      </c>
      <c r="D15" s="1">
        <v>115</v>
      </c>
      <c r="E15" s="4">
        <f>Tabla42424[[#This Row],[Lectura Medidor Actual]]-Tabla42424[[#This Row],[Lectura Medidor Anterior]]</f>
        <v>72</v>
      </c>
      <c r="F15" s="7">
        <f>Tabla_Luz[[#This Row],[Importe Recibo]]</f>
        <v>384</v>
      </c>
      <c r="G15" s="1">
        <f>Tabla_Luz[[#This Row],[Consumo Recibo]]</f>
        <v>448</v>
      </c>
      <c r="H15" s="5">
        <f>ROUND(Tabla42424[[#This Row],[Importe Recibo]]/Tabla42424[[#This Row],[Consumo Recibo]],2)</f>
        <v>0.86</v>
      </c>
      <c r="I15" s="2">
        <f>ROUND(Tabla42424[[#This Row],[Consumo Medidor]]*Tabla42424[[#This Row],[Valor Unitario]],2)</f>
        <v>61.92</v>
      </c>
      <c r="J15" s="17">
        <f>Tabla42424[[#This Row],[Total a Pagar]]/Tabla42424[[#This Row],[Importe Recibo]]</f>
        <v>0.16125</v>
      </c>
      <c r="K15">
        <v>2024</v>
      </c>
      <c r="L15" s="8" t="s">
        <v>35</v>
      </c>
      <c r="M15" s="1">
        <v>44</v>
      </c>
      <c r="N15" s="1">
        <v>28</v>
      </c>
      <c r="O15" s="4">
        <f>Tabla424625[[#This Row],[Lectura Medidor Actual]]-Tabla424625[[#This Row],[Lectura Medidor Anterior]]</f>
        <v>16</v>
      </c>
      <c r="P15" s="7">
        <f>Tabla_Agua[[#This Row],[Importe Recibo]]</f>
        <v>618.6</v>
      </c>
      <c r="Q15" s="1">
        <f>Tabla_Agua[[#This Row],[Consumo Recibo]]</f>
        <v>73</v>
      </c>
      <c r="R15" s="5">
        <f>ROUND(Tabla424625[[#This Row],[Importe Recibo]]/Tabla424625[[#This Row],[Consumo Recibo]],2)</f>
        <v>8.4700000000000006</v>
      </c>
      <c r="S15" s="2">
        <f>ROUND(Tabla424625[[#This Row],[Consumo Medidor]]*Tabla424625[[#This Row],[Valor Unitario]],2)</f>
        <v>135.52000000000001</v>
      </c>
      <c r="T15" s="17">
        <f>Tabla424625[[#This Row],[Total a Pagar]]/Tabla424625[[#This Row],[Importe Recibo]]</f>
        <v>0.21907533139346913</v>
      </c>
      <c r="U15" s="2">
        <f>Tabla42424[[#This Row],[Total a Pagar]]</f>
        <v>61.92</v>
      </c>
      <c r="V15" s="2">
        <f>Tabla424625[[#This Row],[Total a Pagar]]</f>
        <v>135.52000000000001</v>
      </c>
      <c r="W15" s="2">
        <f>ROUND(Tabla42424[[#This Row],[Total a Pagar]]+Tabla424625[[#This Row],[Total a Pagar]],2)</f>
        <v>197.44</v>
      </c>
      <c r="X15" s="14"/>
    </row>
    <row r="16" spans="1:24" x14ac:dyDescent="0.25">
      <c r="A16">
        <v>2025</v>
      </c>
      <c r="B16" s="8" t="s">
        <v>1</v>
      </c>
      <c r="C16" s="1">
        <v>274</v>
      </c>
      <c r="D16" s="1">
        <v>187</v>
      </c>
      <c r="E16" s="4">
        <f>Tabla42424[[#This Row],[Lectura Medidor Actual]]-Tabla42424[[#This Row],[Lectura Medidor Anterior]]</f>
        <v>87</v>
      </c>
      <c r="F16" s="7">
        <f>Tabla_Luz[[#This Row],[Importe Recibo]]</f>
        <v>473</v>
      </c>
      <c r="G16" s="1">
        <f>Tabla_Luz[[#This Row],[Consumo Recibo]]</f>
        <v>532</v>
      </c>
      <c r="H16" s="5">
        <f>ROUND(Tabla42424[[#This Row],[Importe Recibo]]/Tabla42424[[#This Row],[Consumo Recibo]],2)</f>
        <v>0.89</v>
      </c>
      <c r="I16" s="2">
        <f>ROUND(Tabla42424[[#This Row],[Consumo Medidor]]*Tabla42424[[#This Row],[Valor Unitario]],2)</f>
        <v>77.430000000000007</v>
      </c>
      <c r="J16" s="17">
        <f>Tabla42424[[#This Row],[Total a Pagar]]/Tabla42424[[#This Row],[Importe Recibo]]</f>
        <v>0.16369978858350953</v>
      </c>
      <c r="K16">
        <v>2025</v>
      </c>
      <c r="L16" s="8" t="s">
        <v>1</v>
      </c>
      <c r="M16" s="1">
        <v>59</v>
      </c>
      <c r="N16" s="1">
        <v>44</v>
      </c>
      <c r="O16" s="4">
        <f>Tabla424625[[#This Row],[Lectura Medidor Actual]]-Tabla424625[[#This Row],[Lectura Medidor Anterior]]</f>
        <v>15</v>
      </c>
      <c r="P16" s="7">
        <f>Tabla_Agua[[#This Row],[Importe Recibo]]</f>
        <v>808.1</v>
      </c>
      <c r="Q16" s="1">
        <f>Tabla_Agua[[#This Row],[Consumo Recibo]]</f>
        <v>95</v>
      </c>
      <c r="R16" s="5">
        <f>ROUND(Tabla424625[[#This Row],[Importe Recibo]]/Tabla424625[[#This Row],[Consumo Recibo]],2)</f>
        <v>8.51</v>
      </c>
      <c r="S16" s="2">
        <f>ROUND(Tabla424625[[#This Row],[Consumo Medidor]]*Tabla424625[[#This Row],[Valor Unitario]],2)</f>
        <v>127.65</v>
      </c>
      <c r="T16" s="17">
        <f>Tabla424625[[#This Row],[Total a Pagar]]/Tabla424625[[#This Row],[Importe Recibo]]</f>
        <v>0.15796312337581983</v>
      </c>
      <c r="U16" s="2">
        <f>Tabla42424[[#This Row],[Total a Pagar]]</f>
        <v>77.430000000000007</v>
      </c>
      <c r="V16" s="2">
        <f>Tabla424625[[#This Row],[Total a Pagar]]</f>
        <v>127.65</v>
      </c>
      <c r="W16" s="2">
        <f>ROUND(Tabla42424[[#This Row],[Total a Pagar]]+Tabla424625[[#This Row],[Total a Pagar]],2)</f>
        <v>205.08</v>
      </c>
      <c r="X16" s="14"/>
    </row>
    <row r="17" spans="1:24" x14ac:dyDescent="0.25">
      <c r="A17">
        <v>2025</v>
      </c>
      <c r="B17" s="8" t="s">
        <v>2</v>
      </c>
      <c r="C17" s="1">
        <v>370</v>
      </c>
      <c r="D17" s="1">
        <v>274</v>
      </c>
      <c r="E17" s="4">
        <f>Tabla42424[[#This Row],[Lectura Medidor Actual]]-Tabla42424[[#This Row],[Lectura Medidor Anterior]]</f>
        <v>96</v>
      </c>
      <c r="F17" s="7">
        <f>Tabla_Luz[[#This Row],[Importe Recibo]]</f>
        <v>410</v>
      </c>
      <c r="G17" s="1">
        <f>Tabla_Luz[[#This Row],[Consumo Recibo]]</f>
        <v>479</v>
      </c>
      <c r="H17" s="5">
        <f>ROUND(Tabla42424[[#This Row],[Importe Recibo]]/Tabla42424[[#This Row],[Consumo Recibo]],2)</f>
        <v>0.86</v>
      </c>
      <c r="I17" s="2">
        <f>ROUND(Tabla42424[[#This Row],[Consumo Medidor]]*Tabla42424[[#This Row],[Valor Unitario]],2)</f>
        <v>82.56</v>
      </c>
      <c r="J17" s="17">
        <f>Tabla42424[[#This Row],[Total a Pagar]]/Tabla42424[[#This Row],[Importe Recibo]]</f>
        <v>0.2013658536585366</v>
      </c>
      <c r="K17">
        <v>2025</v>
      </c>
      <c r="L17" s="8" t="s">
        <v>2</v>
      </c>
      <c r="M17" s="1">
        <v>78</v>
      </c>
      <c r="N17" s="1">
        <v>59</v>
      </c>
      <c r="O17" s="4">
        <f>Tabla424625[[#This Row],[Lectura Medidor Actual]]-Tabla424625[[#This Row],[Lectura Medidor Anterior]]</f>
        <v>19</v>
      </c>
      <c r="P17" s="7">
        <f>Tabla_Agua[[#This Row],[Importe Recibo]]</f>
        <v>646.29999999999995</v>
      </c>
      <c r="Q17" s="1">
        <f>Tabla_Agua[[#This Row],[Consumo Recibo]]</f>
        <v>76</v>
      </c>
      <c r="R17" s="5">
        <f>ROUND(Tabla424625[[#This Row],[Importe Recibo]]/Tabla424625[[#This Row],[Consumo Recibo]],2)</f>
        <v>8.5</v>
      </c>
      <c r="S17" s="2">
        <f>ROUND(Tabla424625[[#This Row],[Consumo Medidor]]*Tabla424625[[#This Row],[Valor Unitario]],2)</f>
        <v>161.5</v>
      </c>
      <c r="T17" s="17">
        <f>Tabla424625[[#This Row],[Total a Pagar]]/Tabla424625[[#This Row],[Importe Recibo]]</f>
        <v>0.24988395481974318</v>
      </c>
      <c r="U17" s="2">
        <f>Tabla42424[[#This Row],[Total a Pagar]]</f>
        <v>82.56</v>
      </c>
      <c r="V17" s="2">
        <f>Tabla424625[[#This Row],[Total a Pagar]]</f>
        <v>161.5</v>
      </c>
      <c r="W17" s="2">
        <f>ROUND(Tabla42424[[#This Row],[Total a Pagar]]+Tabla424625[[#This Row],[Total a Pagar]],2)</f>
        <v>244.06</v>
      </c>
      <c r="X17" s="14"/>
    </row>
    <row r="18" spans="1:24" x14ac:dyDescent="0.25">
      <c r="A18">
        <v>2025</v>
      </c>
      <c r="B18" s="8" t="s">
        <v>3</v>
      </c>
      <c r="C18" s="1">
        <v>490</v>
      </c>
      <c r="D18" s="1">
        <v>370</v>
      </c>
      <c r="E18" s="4">
        <f>Tabla42424[[#This Row],[Lectura Medidor Actual]]-Tabla42424[[#This Row],[Lectura Medidor Anterior]]</f>
        <v>120</v>
      </c>
      <c r="F18" s="7">
        <f>Tabla_Luz[[#This Row],[Importe Recibo]]</f>
        <v>380.5</v>
      </c>
      <c r="G18" s="1">
        <f>Tabla_Luz[[#This Row],[Consumo Recibo]]</f>
        <v>449</v>
      </c>
      <c r="H18" s="5">
        <f>ROUND(Tabla42424[[#This Row],[Importe Recibo]]/Tabla42424[[#This Row],[Consumo Recibo]],2)</f>
        <v>0.85</v>
      </c>
      <c r="I18" s="2">
        <f>ROUND(Tabla42424[[#This Row],[Consumo Medidor]]*Tabla42424[[#This Row],[Valor Unitario]],2)</f>
        <v>102</v>
      </c>
      <c r="J18" s="17">
        <f>Tabla42424[[#This Row],[Total a Pagar]]/Tabla42424[[#This Row],[Importe Recibo]]</f>
        <v>0.26806833114323259</v>
      </c>
      <c r="K18">
        <v>2025</v>
      </c>
      <c r="L18" s="8" t="s">
        <v>3</v>
      </c>
      <c r="M18" s="1">
        <v>96</v>
      </c>
      <c r="N18" s="1">
        <v>78</v>
      </c>
      <c r="O18" s="4">
        <f>Tabla424625[[#This Row],[Lectura Medidor Actual]]-Tabla424625[[#This Row],[Lectura Medidor Anterior]]</f>
        <v>18</v>
      </c>
      <c r="P18" s="7">
        <f>Tabla_Agua[[#This Row],[Importe Recibo]]</f>
        <v>663.3</v>
      </c>
      <c r="Q18" s="1">
        <f>Tabla_Agua[[#This Row],[Consumo Recibo]]</f>
        <v>79</v>
      </c>
      <c r="R18" s="5">
        <f>ROUND(Tabla424625[[#This Row],[Importe Recibo]]/Tabla424625[[#This Row],[Consumo Recibo]],2)</f>
        <v>8.4</v>
      </c>
      <c r="S18" s="2">
        <f>ROUND(Tabla424625[[#This Row],[Consumo Medidor]]*Tabla424625[[#This Row],[Valor Unitario]],2)</f>
        <v>151.19999999999999</v>
      </c>
      <c r="T18" s="17">
        <f>Tabla424625[[#This Row],[Total a Pagar]]/Tabla424625[[#This Row],[Importe Recibo]]</f>
        <v>0.22795115332428764</v>
      </c>
      <c r="U18" s="2">
        <f>Tabla42424[[#This Row],[Total a Pagar]]</f>
        <v>102</v>
      </c>
      <c r="V18" s="2">
        <f>Tabla424625[[#This Row],[Total a Pagar]]</f>
        <v>151.19999999999999</v>
      </c>
      <c r="W18" s="2">
        <f>ROUND(Tabla42424[[#This Row],[Total a Pagar]]+Tabla424625[[#This Row],[Total a Pagar]],2)</f>
        <v>253.2</v>
      </c>
      <c r="X18" s="14"/>
    </row>
    <row r="19" spans="1:24" x14ac:dyDescent="0.25">
      <c r="A19">
        <v>2025</v>
      </c>
      <c r="B19" s="8" t="s">
        <v>4</v>
      </c>
      <c r="C19" s="1">
        <v>609</v>
      </c>
      <c r="D19" s="1">
        <v>490</v>
      </c>
      <c r="E19" s="4">
        <f>Tabla42424[[#This Row],[Lectura Medidor Actual]]-Tabla42424[[#This Row],[Lectura Medidor Anterior]]</f>
        <v>119</v>
      </c>
      <c r="F19" s="7">
        <f>Tabla_Luz[[#This Row],[Importe Recibo]]</f>
        <v>411</v>
      </c>
      <c r="G19" s="1">
        <f>Tabla_Luz[[#This Row],[Consumo Recibo]]</f>
        <v>490</v>
      </c>
      <c r="H19" s="5">
        <f>ROUND(Tabla42424[[#This Row],[Importe Recibo]]/Tabla42424[[#This Row],[Consumo Recibo]],2)</f>
        <v>0.84</v>
      </c>
      <c r="I19" s="2">
        <f>ROUND(Tabla42424[[#This Row],[Consumo Medidor]]*Tabla42424[[#This Row],[Valor Unitario]],2)</f>
        <v>99.96</v>
      </c>
      <c r="J19" s="17">
        <f>Tabla42424[[#This Row],[Total a Pagar]]/Tabla42424[[#This Row],[Importe Recibo]]</f>
        <v>0.24321167883211678</v>
      </c>
      <c r="K19">
        <v>2025</v>
      </c>
      <c r="L19" s="8" t="s">
        <v>4</v>
      </c>
      <c r="M19" s="1">
        <v>116</v>
      </c>
      <c r="N19" s="1">
        <v>96</v>
      </c>
      <c r="O19" s="4">
        <f>Tabla424625[[#This Row],[Lectura Medidor Actual]]-Tabla424625[[#This Row],[Lectura Medidor Anterior]]</f>
        <v>20</v>
      </c>
      <c r="P19" s="7">
        <f>Tabla_Agua[[#This Row],[Importe Recibo]]</f>
        <v>576</v>
      </c>
      <c r="Q19" s="1">
        <f>Tabla_Agua[[#This Row],[Consumo Recibo]]</f>
        <v>68</v>
      </c>
      <c r="R19" s="5">
        <f>ROUND(Tabla424625[[#This Row],[Importe Recibo]]/Tabla424625[[#This Row],[Consumo Recibo]],2)</f>
        <v>8.4700000000000006</v>
      </c>
      <c r="S19" s="2">
        <f>ROUND(Tabla424625[[#This Row],[Consumo Medidor]]*Tabla424625[[#This Row],[Valor Unitario]],2)</f>
        <v>169.4</v>
      </c>
      <c r="T19" s="17">
        <f>Tabla424625[[#This Row],[Total a Pagar]]/Tabla424625[[#This Row],[Importe Recibo]]</f>
        <v>0.29409722222222223</v>
      </c>
      <c r="U19" s="2">
        <f>Tabla42424[[#This Row],[Total a Pagar]]</f>
        <v>99.96</v>
      </c>
      <c r="V19" s="2">
        <f>Tabla424625[[#This Row],[Total a Pagar]]</f>
        <v>169.4</v>
      </c>
      <c r="W19" s="2">
        <f>ROUND(Tabla42424[[#This Row],[Total a Pagar]]+Tabla424625[[#This Row],[Total a Pagar]],2)</f>
        <v>269.36</v>
      </c>
      <c r="X19" s="14"/>
    </row>
    <row r="20" spans="1:24" x14ac:dyDescent="0.25">
      <c r="A20">
        <v>2025</v>
      </c>
      <c r="B20" s="8" t="s">
        <v>5</v>
      </c>
      <c r="C20" s="1">
        <v>691</v>
      </c>
      <c r="D20" s="1">
        <v>609</v>
      </c>
      <c r="E20" s="4">
        <f>Tabla42424[[#This Row],[Lectura Medidor Actual]]-Tabla42424[[#This Row],[Lectura Medidor Anterior]]</f>
        <v>82</v>
      </c>
      <c r="F20" s="7">
        <f>Tabla_Luz[[#This Row],[Importe Recibo]]</f>
        <v>411.59</v>
      </c>
      <c r="G20" s="1">
        <f>Tabla_Luz[[#This Row],[Consumo Recibo]]</f>
        <v>493</v>
      </c>
      <c r="H20" s="5">
        <f>ROUND(Tabla42424[[#This Row],[Importe Recibo]]/Tabla42424[[#This Row],[Consumo Recibo]],2)</f>
        <v>0.83</v>
      </c>
      <c r="I20" s="2">
        <f>ROUND(Tabla42424[[#This Row],[Consumo Medidor]]*Tabla42424[[#This Row],[Valor Unitario]],2)</f>
        <v>68.06</v>
      </c>
      <c r="J20" s="17">
        <f>Tabla42424[[#This Row],[Total a Pagar]]/Tabla42424[[#This Row],[Importe Recibo]]</f>
        <v>0.16535873077577201</v>
      </c>
      <c r="K20">
        <v>2025</v>
      </c>
      <c r="L20" s="8" t="s">
        <v>5</v>
      </c>
      <c r="M20" s="1">
        <v>135</v>
      </c>
      <c r="N20" s="1">
        <v>116</v>
      </c>
      <c r="O20" s="4">
        <f>Tabla424625[[#This Row],[Lectura Medidor Actual]]-Tabla424625[[#This Row],[Lectura Medidor Anterior]]</f>
        <v>19</v>
      </c>
      <c r="P20" s="7">
        <f>Tabla_Agua[[#This Row],[Importe Recibo]]</f>
        <v>609.20000000000005</v>
      </c>
      <c r="Q20" s="1">
        <f>Tabla_Agua[[#This Row],[Consumo Recibo]]</f>
        <v>72</v>
      </c>
      <c r="R20" s="5">
        <f>ROUND(Tabla424625[[#This Row],[Importe Recibo]]/Tabla424625[[#This Row],[Consumo Recibo]],2)</f>
        <v>8.4600000000000009</v>
      </c>
      <c r="S20" s="2">
        <f>ROUND(Tabla424625[[#This Row],[Consumo Medidor]]*Tabla424625[[#This Row],[Valor Unitario]],2)</f>
        <v>160.74</v>
      </c>
      <c r="T20" s="17">
        <f>Tabla424625[[#This Row],[Total a Pagar]]/Tabla424625[[#This Row],[Importe Recibo]]</f>
        <v>0.26385423506237687</v>
      </c>
      <c r="U20" s="2">
        <f>Tabla42424[[#This Row],[Total a Pagar]]</f>
        <v>68.06</v>
      </c>
      <c r="V20" s="2">
        <f>Tabla424625[[#This Row],[Total a Pagar]]</f>
        <v>160.74</v>
      </c>
      <c r="W20" s="2">
        <f>ROUND(Tabla42424[[#This Row],[Total a Pagar]]+Tabla424625[[#This Row],[Total a Pagar]],2)</f>
        <v>228.8</v>
      </c>
      <c r="X20" s="14"/>
    </row>
    <row r="21" spans="1:24" x14ac:dyDescent="0.25">
      <c r="A21">
        <v>2025</v>
      </c>
      <c r="B21" s="8" t="s">
        <v>6</v>
      </c>
      <c r="C21" s="1">
        <v>769</v>
      </c>
      <c r="D21" s="1">
        <v>691</v>
      </c>
      <c r="E21" s="4">
        <f>Tabla42424[[#This Row],[Lectura Medidor Actual]]-Tabla42424[[#This Row],[Lectura Medidor Anterior]]</f>
        <v>78</v>
      </c>
      <c r="F21" s="7">
        <f>Tabla_Luz[[#This Row],[Importe Recibo]]</f>
        <v>479.41</v>
      </c>
      <c r="G21" s="1">
        <f>Tabla_Luz[[#This Row],[Consumo Recibo]]</f>
        <v>553</v>
      </c>
      <c r="H21" s="5">
        <f>ROUND(Tabla42424[[#This Row],[Importe Recibo]]/Tabla42424[[#This Row],[Consumo Recibo]],2)</f>
        <v>0.87</v>
      </c>
      <c r="I21" s="2">
        <f>ROUND(Tabla42424[[#This Row],[Consumo Medidor]]*Tabla42424[[#This Row],[Valor Unitario]],2)</f>
        <v>67.86</v>
      </c>
      <c r="J21" s="17">
        <f>Tabla42424[[#This Row],[Total a Pagar]]/Tabla42424[[#This Row],[Importe Recibo]]</f>
        <v>0.14154898729688575</v>
      </c>
      <c r="K21">
        <v>2025</v>
      </c>
      <c r="L21" s="8" t="s">
        <v>6</v>
      </c>
      <c r="M21" s="1">
        <v>151</v>
      </c>
      <c r="N21" s="1">
        <v>135</v>
      </c>
      <c r="O21" s="4">
        <f>Tabla424625[[#This Row],[Lectura Medidor Actual]]-Tabla424625[[#This Row],[Lectura Medidor Anterior]]</f>
        <v>16</v>
      </c>
      <c r="P21" s="7">
        <f>Tabla_Agua[[#This Row],[Importe Recibo]]</f>
        <v>732.5</v>
      </c>
      <c r="Q21" s="1">
        <f>Tabla_Agua[[#This Row],[Consumo Recibo]]</f>
        <v>86</v>
      </c>
      <c r="R21" s="5">
        <f>ROUND(Tabla424625[[#This Row],[Importe Recibo]]/Tabla424625[[#This Row],[Consumo Recibo]],2)</f>
        <v>8.52</v>
      </c>
      <c r="S21" s="2">
        <f>ROUND(Tabla424625[[#This Row],[Consumo Medidor]]*Tabla424625[[#This Row],[Valor Unitario]],2)</f>
        <v>136.32</v>
      </c>
      <c r="T21" s="17">
        <f>Tabla424625[[#This Row],[Total a Pagar]]/Tabla424625[[#This Row],[Importe Recibo]]</f>
        <v>0.18610238907849827</v>
      </c>
      <c r="U21" s="2">
        <f>Tabla42424[[#This Row],[Total a Pagar]]</f>
        <v>67.86</v>
      </c>
      <c r="V21" s="2">
        <f>Tabla424625[[#This Row],[Total a Pagar]]</f>
        <v>136.32</v>
      </c>
      <c r="W21" s="2">
        <f>ROUND(Tabla42424[[#This Row],[Total a Pagar]]+Tabla424625[[#This Row],[Total a Pagar]],2)</f>
        <v>204.18</v>
      </c>
      <c r="X21" s="14"/>
    </row>
    <row r="22" spans="1:24" x14ac:dyDescent="0.25">
      <c r="A22">
        <v>2025</v>
      </c>
      <c r="B22" s="8" t="s">
        <v>7</v>
      </c>
      <c r="C22" s="1">
        <v>843</v>
      </c>
      <c r="D22" s="1">
        <v>769</v>
      </c>
      <c r="E22" s="4">
        <f>Tabla42424[[#This Row],[Lectura Medidor Actual]]-Tabla42424[[#This Row],[Lectura Medidor Anterior]]</f>
        <v>74</v>
      </c>
      <c r="F22" s="7">
        <f>Tabla_Luz[[#This Row],[Importe Recibo]]</f>
        <v>538.86</v>
      </c>
      <c r="G22" s="1">
        <f>Tabla_Luz[[#This Row],[Consumo Recibo]]</f>
        <v>632</v>
      </c>
      <c r="H22" s="5">
        <f>ROUND(Tabla42424[[#This Row],[Importe Recibo]]/Tabla42424[[#This Row],[Consumo Recibo]],2)</f>
        <v>0.85</v>
      </c>
      <c r="I22" s="2">
        <f>ROUND(Tabla42424[[#This Row],[Consumo Medidor]]*Tabla42424[[#This Row],[Valor Unitario]],2)</f>
        <v>62.9</v>
      </c>
      <c r="J22" s="17">
        <f>Tabla42424[[#This Row],[Total a Pagar]]/Tabla42424[[#This Row],[Importe Recibo]]</f>
        <v>0.11672790706305905</v>
      </c>
      <c r="K22">
        <v>2025</v>
      </c>
      <c r="L22" s="8" t="s">
        <v>7</v>
      </c>
      <c r="M22" s="1">
        <v>167</v>
      </c>
      <c r="N22" s="1">
        <v>151</v>
      </c>
      <c r="O22" s="4">
        <f>Tabla424625[[#This Row],[Lectura Medidor Actual]]-Tabla424625[[#This Row],[Lectura Medidor Anterior]]</f>
        <v>16</v>
      </c>
      <c r="P22" s="7">
        <f>Tabla_Agua[[#This Row],[Importe Recibo]]</f>
        <v>903.6</v>
      </c>
      <c r="Q22" s="1">
        <f>Tabla_Agua[[#This Row],[Consumo Recibo]]</f>
        <v>105</v>
      </c>
      <c r="R22" s="5">
        <f>ROUND(Tabla424625[[#This Row],[Importe Recibo]]/Tabla424625[[#This Row],[Consumo Recibo]],2)</f>
        <v>8.61</v>
      </c>
      <c r="S22" s="2">
        <f>ROUND(Tabla424625[[#This Row],[Consumo Medidor]]*Tabla424625[[#This Row],[Valor Unitario]],2)</f>
        <v>137.76</v>
      </c>
      <c r="T22" s="17">
        <f>Tabla424625[[#This Row],[Total a Pagar]]/Tabla424625[[#This Row],[Importe Recibo]]</f>
        <v>0.15245683930942894</v>
      </c>
      <c r="U22" s="2">
        <f>Tabla42424[[#This Row],[Total a Pagar]]</f>
        <v>62.9</v>
      </c>
      <c r="V22" s="2">
        <f>Tabla424625[[#This Row],[Total a Pagar]]</f>
        <v>137.76</v>
      </c>
      <c r="W22" s="2">
        <f>ROUND(Tabla42424[[#This Row],[Total a Pagar]]+Tabla424625[[#This Row],[Total a Pagar]],2)</f>
        <v>200.66</v>
      </c>
      <c r="X22" s="14"/>
    </row>
    <row r="23" spans="1:24" x14ac:dyDescent="0.25">
      <c r="A23">
        <v>2025</v>
      </c>
      <c r="B23" s="8" t="s">
        <v>8</v>
      </c>
      <c r="C23" s="1">
        <v>938</v>
      </c>
      <c r="D23" s="1">
        <v>843</v>
      </c>
      <c r="E23" s="4">
        <f>Tabla42424[[#This Row],[Lectura Medidor Actual]]-Tabla42424[[#This Row],[Lectura Medidor Anterior]]</f>
        <v>95</v>
      </c>
      <c r="F23" s="7">
        <f>Tabla_Luz[[#This Row],[Importe Recibo]]</f>
        <v>614.91</v>
      </c>
      <c r="G23" s="1">
        <f>Tabla_Luz[[#This Row],[Consumo Recibo]]</f>
        <v>714</v>
      </c>
      <c r="H23" s="5">
        <f>ROUND(Tabla42424[[#This Row],[Importe Recibo]]/Tabla42424[[#This Row],[Consumo Recibo]],2)</f>
        <v>0.86</v>
      </c>
      <c r="I23" s="2">
        <f>ROUND(Tabla42424[[#This Row],[Consumo Medidor]]*Tabla42424[[#This Row],[Valor Unitario]],2)</f>
        <v>81.7</v>
      </c>
      <c r="J23" s="17">
        <f>Tabla42424[[#This Row],[Total a Pagar]]/Tabla42424[[#This Row],[Importe Recibo]]</f>
        <v>0.13286497210973966</v>
      </c>
      <c r="K23">
        <v>2025</v>
      </c>
      <c r="L23" s="8" t="s">
        <v>8</v>
      </c>
      <c r="M23" s="1">
        <v>187</v>
      </c>
      <c r="N23" s="1">
        <v>167</v>
      </c>
      <c r="O23" s="4">
        <f>Tabla424625[[#This Row],[Lectura Medidor Actual]]-Tabla424625[[#This Row],[Lectura Medidor Anterior]]</f>
        <v>20</v>
      </c>
      <c r="P23" s="7">
        <f>Tabla_Agua[[#This Row],[Importe Recibo]]</f>
        <v>551.6</v>
      </c>
      <c r="Q23" s="1">
        <f>Tabla_Agua[[#This Row],[Consumo Recibo]]</f>
        <v>65</v>
      </c>
      <c r="R23" s="5">
        <f>ROUND(Tabla424625[[#This Row],[Importe Recibo]]/Tabla424625[[#This Row],[Consumo Recibo]],2)</f>
        <v>8.49</v>
      </c>
      <c r="S23" s="2">
        <f>ROUND(Tabla424625[[#This Row],[Consumo Medidor]]*Tabla424625[[#This Row],[Valor Unitario]],2)</f>
        <v>169.8</v>
      </c>
      <c r="T23" s="17">
        <f>Tabla424625[[#This Row],[Total a Pagar]]/Tabla424625[[#This Row],[Importe Recibo]]</f>
        <v>0.30783176214648295</v>
      </c>
      <c r="U23" s="2">
        <f>Tabla42424[[#This Row],[Total a Pagar]]</f>
        <v>81.7</v>
      </c>
      <c r="V23" s="2">
        <f>Tabla424625[[#This Row],[Total a Pagar]]</f>
        <v>169.8</v>
      </c>
      <c r="W23" s="2">
        <f>ROUND(Tabla42424[[#This Row],[Total a Pagar]]+Tabla424625[[#This Row],[Total a Pagar]],2)</f>
        <v>251.5</v>
      </c>
      <c r="X23" s="14"/>
    </row>
    <row r="24" spans="1:24" x14ac:dyDescent="0.25">
      <c r="A24">
        <v>2025</v>
      </c>
      <c r="B24" s="8" t="s">
        <v>9</v>
      </c>
      <c r="C24" s="1">
        <v>1027</v>
      </c>
      <c r="D24" s="1">
        <v>938</v>
      </c>
      <c r="E24" s="4">
        <f>Tabla42424[[#This Row],[Lectura Medidor Actual]]-Tabla42424[[#This Row],[Lectura Medidor Anterior]]</f>
        <v>89</v>
      </c>
      <c r="F24" s="7">
        <f>Tabla_Luz[[#This Row],[Importe Recibo]]</f>
        <v>549</v>
      </c>
      <c r="G24" s="1">
        <f>Tabla_Luz[[#This Row],[Consumo Recibo]]</f>
        <v>650</v>
      </c>
      <c r="H24" s="5">
        <f>ROUND(Tabla42424[[#This Row],[Importe Recibo]]/Tabla42424[[#This Row],[Consumo Recibo]],2)</f>
        <v>0.84</v>
      </c>
      <c r="I24" s="2">
        <f>ROUND(Tabla42424[[#This Row],[Consumo Medidor]]*Tabla42424[[#This Row],[Valor Unitario]],2)</f>
        <v>74.760000000000005</v>
      </c>
      <c r="J24" s="17">
        <f>Tabla42424[[#This Row],[Total a Pagar]]/Tabla42424[[#This Row],[Importe Recibo]]</f>
        <v>0.13617486338797816</v>
      </c>
      <c r="K24">
        <v>2025</v>
      </c>
      <c r="L24" s="8" t="s">
        <v>9</v>
      </c>
      <c r="M24" s="1">
        <v>213</v>
      </c>
      <c r="N24" s="1">
        <v>187</v>
      </c>
      <c r="O24" s="4">
        <f>Tabla424625[[#This Row],[Lectura Medidor Actual]]-Tabla424625[[#This Row],[Lectura Medidor Anterior]]</f>
        <v>26</v>
      </c>
      <c r="P24" s="7">
        <f>Tabla_Agua[[#This Row],[Importe Recibo]]</f>
        <v>1136.9000000000001</v>
      </c>
      <c r="Q24" s="1">
        <f>Tabla_Agua[[#This Row],[Consumo Recibo]]</f>
        <v>130</v>
      </c>
      <c r="R24" s="5">
        <f>ROUND(Tabla424625[[#This Row],[Importe Recibo]]/Tabla424625[[#This Row],[Consumo Recibo]],2)</f>
        <v>8.75</v>
      </c>
      <c r="S24" s="2">
        <f>ROUND(Tabla424625[[#This Row],[Consumo Medidor]]*Tabla424625[[#This Row],[Valor Unitario]],2)</f>
        <v>227.5</v>
      </c>
      <c r="T24" s="17">
        <f>Tabla424625[[#This Row],[Total a Pagar]]/Tabla424625[[#This Row],[Importe Recibo]]</f>
        <v>0.20010555018031487</v>
      </c>
      <c r="U24" s="2">
        <f>Tabla42424[[#This Row],[Total a Pagar]]</f>
        <v>74.760000000000005</v>
      </c>
      <c r="V24" s="2">
        <f>Tabla424625[[#This Row],[Total a Pagar]]</f>
        <v>227.5</v>
      </c>
      <c r="W24" s="2">
        <f>ROUND(Tabla42424[[#This Row],[Total a Pagar]]+Tabla424625[[#This Row],[Total a Pagar]],2)</f>
        <v>302.26</v>
      </c>
      <c r="X24" s="14"/>
    </row>
    <row r="25" spans="1:24" x14ac:dyDescent="0.25">
      <c r="A25">
        <v>2025</v>
      </c>
      <c r="B25" s="8" t="s">
        <v>32</v>
      </c>
      <c r="C25" s="1">
        <v>1091</v>
      </c>
      <c r="D25" s="1">
        <v>1027</v>
      </c>
      <c r="E25" s="4">
        <f>Tabla42424[[#This Row],[Lectura Medidor Actual]]-Tabla42424[[#This Row],[Lectura Medidor Anterior]]</f>
        <v>64</v>
      </c>
      <c r="F25" s="7">
        <f>Tabla_Luz[[#This Row],[Importe Recibo]]</f>
        <v>500</v>
      </c>
      <c r="G25" s="1">
        <f>Tabla_Luz[[#This Row],[Consumo Recibo]]</f>
        <v>595</v>
      </c>
      <c r="H25" s="5">
        <f>ROUND(Tabla42424[[#This Row],[Importe Recibo]]/Tabla42424[[#This Row],[Consumo Recibo]],2)</f>
        <v>0.84</v>
      </c>
      <c r="I25" s="2">
        <f>ROUND(Tabla42424[[#This Row],[Consumo Medidor]]*Tabla42424[[#This Row],[Valor Unitario]],2)</f>
        <v>53.76</v>
      </c>
      <c r="J25" s="17">
        <f>Tabla42424[[#This Row],[Total a Pagar]]/Tabla42424[[#This Row],[Importe Recibo]]</f>
        <v>0.10751999999999999</v>
      </c>
      <c r="K25">
        <v>2025</v>
      </c>
      <c r="L25" s="8" t="s">
        <v>32</v>
      </c>
      <c r="M25" s="1">
        <v>230</v>
      </c>
      <c r="N25" s="1">
        <v>213</v>
      </c>
      <c r="O25" s="4">
        <f>Tabla424625[[#This Row],[Lectura Medidor Actual]]-Tabla424625[[#This Row],[Lectura Medidor Anterior]]</f>
        <v>17</v>
      </c>
      <c r="P25" s="7">
        <f>Tabla_Agua[[#This Row],[Importe Recibo]]</f>
        <v>715.3</v>
      </c>
      <c r="Q25" s="1">
        <f>Tabla_Agua[[#This Row],[Consumo Recibo]]</f>
        <v>84</v>
      </c>
      <c r="R25" s="5">
        <f>ROUND(Tabla424625[[#This Row],[Importe Recibo]]/Tabla424625[[#This Row],[Consumo Recibo]],2)</f>
        <v>8.52</v>
      </c>
      <c r="S25" s="2">
        <f>ROUND(Tabla424625[[#This Row],[Consumo Medidor]]*Tabla424625[[#This Row],[Valor Unitario]],2)</f>
        <v>144.84</v>
      </c>
      <c r="T25" s="17">
        <f>Tabla424625[[#This Row],[Total a Pagar]]/Tabla424625[[#This Row],[Importe Recibo]]</f>
        <v>0.20248846637774362</v>
      </c>
      <c r="U25" s="2">
        <f>Tabla42424[[#This Row],[Total a Pagar]]</f>
        <v>53.76</v>
      </c>
      <c r="V25" s="2">
        <f>Tabla424625[[#This Row],[Total a Pagar]]</f>
        <v>144.84</v>
      </c>
      <c r="W25" s="2">
        <f>ROUND(Tabla42424[[#This Row],[Total a Pagar]]+Tabla424625[[#This Row],[Total a Pagar]],2)</f>
        <v>198.6</v>
      </c>
      <c r="X25" s="14"/>
    </row>
    <row r="26" spans="1:24" x14ac:dyDescent="0.25">
      <c r="A26">
        <v>2025</v>
      </c>
      <c r="B26" s="8" t="s">
        <v>34</v>
      </c>
      <c r="C26" s="1">
        <v>1178</v>
      </c>
      <c r="D26" s="1">
        <v>1091</v>
      </c>
      <c r="E26" s="4">
        <f>Tabla42424[[#This Row],[Lectura Medidor Actual]]-Tabla42424[[#This Row],[Lectura Medidor Anterior]]</f>
        <v>87</v>
      </c>
      <c r="F26" s="7">
        <f>Tabla_Luz[[#This Row],[Importe Recibo]]</f>
        <v>449.5</v>
      </c>
      <c r="G26" s="1">
        <f>Tabla_Luz[[#This Row],[Consumo Recibo]]</f>
        <v>542</v>
      </c>
      <c r="H26" s="5">
        <f>ROUND(Tabla42424[[#This Row],[Importe Recibo]]/Tabla42424[[#This Row],[Consumo Recibo]],2)</f>
        <v>0.83</v>
      </c>
      <c r="I26" s="2">
        <f>ROUND(Tabla42424[[#This Row],[Consumo Medidor]]*Tabla42424[[#This Row],[Valor Unitario]],2)</f>
        <v>72.209999999999994</v>
      </c>
      <c r="J26" s="17">
        <f>Tabla42424[[#This Row],[Total a Pagar]]/Tabla42424[[#This Row],[Importe Recibo]]</f>
        <v>0.16064516129032258</v>
      </c>
      <c r="K26">
        <v>2025</v>
      </c>
      <c r="L26" s="8" t="s">
        <v>34</v>
      </c>
      <c r="M26" s="1">
        <v>258</v>
      </c>
      <c r="N26" s="1">
        <v>230</v>
      </c>
      <c r="O26" s="4">
        <f>Tabla424625[[#This Row],[Lectura Medidor Actual]]-Tabla424625[[#This Row],[Lectura Medidor Anterior]]</f>
        <v>28</v>
      </c>
      <c r="P26" s="7">
        <f>Tabla_Agua[[#This Row],[Importe Recibo]]</f>
        <v>981</v>
      </c>
      <c r="Q26" s="1">
        <f>Tabla_Agua[[#This Row],[Consumo Recibo]]</f>
        <v>114</v>
      </c>
      <c r="R26" s="5">
        <f>ROUND(Tabla424625[[#This Row],[Importe Recibo]]/Tabla424625[[#This Row],[Consumo Recibo]],2)</f>
        <v>8.61</v>
      </c>
      <c r="S26" s="2">
        <f>ROUND(Tabla424625[[#This Row],[Consumo Medidor]]*Tabla424625[[#This Row],[Valor Unitario]],2)</f>
        <v>241.08</v>
      </c>
      <c r="T26" s="17">
        <f>Tabla424625[[#This Row],[Total a Pagar]]/Tabla424625[[#This Row],[Importe Recibo]]</f>
        <v>0.24574923547400612</v>
      </c>
      <c r="U26" s="2">
        <f>Tabla42424[[#This Row],[Total a Pagar]]</f>
        <v>72.209999999999994</v>
      </c>
      <c r="V26" s="2">
        <f>Tabla424625[[#This Row],[Total a Pagar]]</f>
        <v>241.08</v>
      </c>
      <c r="W26" s="2">
        <f>ROUND(Tabla42424[[#This Row],[Total a Pagar]]+Tabla424625[[#This Row],[Total a Pagar]],2)</f>
        <v>313.29000000000002</v>
      </c>
      <c r="X26" s="14"/>
    </row>
    <row r="27" spans="1:24" x14ac:dyDescent="0.25">
      <c r="A27">
        <v>2025</v>
      </c>
      <c r="B27" s="8" t="s">
        <v>35</v>
      </c>
      <c r="C27" s="1">
        <v>1264</v>
      </c>
      <c r="D27" s="1">
        <v>1178</v>
      </c>
      <c r="E27" s="4">
        <f>Tabla42424[[#This Row],[Lectura Medidor Actual]]-Tabla42424[[#This Row],[Lectura Medidor Anterior]]</f>
        <v>86</v>
      </c>
      <c r="F27" s="7">
        <f>Tabla_Luz[[#This Row],[Importe Recibo]]</f>
        <v>414</v>
      </c>
      <c r="G27" s="1">
        <f>Tabla_Luz[[#This Row],[Consumo Recibo]]</f>
        <v>513</v>
      </c>
      <c r="H27" s="5">
        <f>ROUND(Tabla42424[[#This Row],[Importe Recibo]]/Tabla42424[[#This Row],[Consumo Recibo]],2)</f>
        <v>0.81</v>
      </c>
      <c r="I27" s="2">
        <f>ROUND(Tabla42424[[#This Row],[Consumo Medidor]]*Tabla42424[[#This Row],[Valor Unitario]],2)</f>
        <v>69.66</v>
      </c>
      <c r="J27" s="17">
        <f>Tabla42424[[#This Row],[Total a Pagar]]/Tabla42424[[#This Row],[Importe Recibo]]</f>
        <v>0.16826086956521738</v>
      </c>
      <c r="K27">
        <v>2025</v>
      </c>
      <c r="L27" s="8" t="s">
        <v>35</v>
      </c>
      <c r="M27" s="1">
        <v>282</v>
      </c>
      <c r="N27" s="1">
        <v>258</v>
      </c>
      <c r="O27" s="4">
        <f>Tabla424625[[#This Row],[Lectura Medidor Actual]]-Tabla424625[[#This Row],[Lectura Medidor Anterior]]</f>
        <v>24</v>
      </c>
      <c r="P27" s="7">
        <f>Tabla_Agua[[#This Row],[Importe Recibo]]</f>
        <v>745.1</v>
      </c>
      <c r="Q27" s="1">
        <f>Tabla_Agua[[#This Row],[Consumo Recibo]]</f>
        <v>88</v>
      </c>
      <c r="R27" s="5">
        <f>ROUND(Tabla424625[[#This Row],[Importe Recibo]]/Tabla424625[[#This Row],[Consumo Recibo]],2)</f>
        <v>8.4700000000000006</v>
      </c>
      <c r="S27" s="2">
        <f>ROUND(Tabla424625[[#This Row],[Consumo Medidor]]*Tabla424625[[#This Row],[Valor Unitario]],2)</f>
        <v>203.28</v>
      </c>
      <c r="T27" s="17">
        <f>Tabla424625[[#This Row],[Total a Pagar]]/Tabla424625[[#This Row],[Importe Recibo]]</f>
        <v>0.27282243994094751</v>
      </c>
      <c r="U27" s="2">
        <f>Tabla42424[[#This Row],[Total a Pagar]]</f>
        <v>69.66</v>
      </c>
      <c r="V27" s="2">
        <f>Tabla424625[[#This Row],[Total a Pagar]]</f>
        <v>203.28</v>
      </c>
      <c r="W27" s="2">
        <f>ROUND(Tabla42424[[#This Row],[Total a Pagar]]+Tabla424625[[#This Row],[Total a Pagar]],2)</f>
        <v>272.94</v>
      </c>
      <c r="X27" s="14"/>
    </row>
    <row r="28" spans="1:24" x14ac:dyDescent="0.25">
      <c r="A28">
        <v>2026</v>
      </c>
      <c r="B28" s="8" t="s">
        <v>1</v>
      </c>
      <c r="C28" s="1">
        <v>1282</v>
      </c>
      <c r="D28" s="1">
        <v>1264</v>
      </c>
      <c r="E28" s="4">
        <f>Tabla42424[[#This Row],[Lectura Medidor Actual]]-Tabla42424[[#This Row],[Lectura Medidor Anterior]]</f>
        <v>18</v>
      </c>
      <c r="F28" s="7">
        <f>Tabla_Luz[[#This Row],[Importe Recibo]]</f>
        <v>475</v>
      </c>
      <c r="G28" s="1">
        <f>Tabla_Luz[[#This Row],[Consumo Recibo]]</f>
        <v>584</v>
      </c>
      <c r="H28" s="5">
        <f>ROUND(Tabla42424[[#This Row],[Importe Recibo]]/Tabla42424[[#This Row],[Consumo Recibo]],2)</f>
        <v>0.81</v>
      </c>
      <c r="I28" s="2">
        <f>ROUND(Tabla42424[[#This Row],[Consumo Medidor]]*Tabla42424[[#This Row],[Valor Unitario]],2)</f>
        <v>14.58</v>
      </c>
      <c r="J28" s="17">
        <f>Tabla42424[[#This Row],[Total a Pagar]]/Tabla42424[[#This Row],[Importe Recibo]]</f>
        <v>3.0694736842105264E-2</v>
      </c>
      <c r="K28">
        <v>2026</v>
      </c>
      <c r="L28" s="8" t="s">
        <v>1</v>
      </c>
      <c r="M28" s="1">
        <v>288</v>
      </c>
      <c r="N28" s="1">
        <v>282</v>
      </c>
      <c r="O28" s="4">
        <f>Tabla424625[[#This Row],[Lectura Medidor Actual]]-Tabla424625[[#This Row],[Lectura Medidor Anterior]]</f>
        <v>6</v>
      </c>
      <c r="P28" s="7">
        <f>Tabla_Agua[[#This Row],[Importe Recibo]]</f>
        <v>773.6</v>
      </c>
      <c r="Q28" s="1">
        <f>Tabla_Agua[[#This Row],[Consumo Recibo]]</f>
        <v>91</v>
      </c>
      <c r="R28" s="5">
        <f>ROUND(Tabla424625[[#This Row],[Importe Recibo]]/Tabla424625[[#This Row],[Consumo Recibo]],2)</f>
        <v>8.5</v>
      </c>
      <c r="S28" s="2">
        <f>ROUND(Tabla424625[[#This Row],[Consumo Medidor]]*Tabla424625[[#This Row],[Valor Unitario]],2)</f>
        <v>51</v>
      </c>
      <c r="T28" s="17">
        <f>Tabla424625[[#This Row],[Total a Pagar]]/Tabla424625[[#This Row],[Importe Recibo]]</f>
        <v>6.5925542916235785E-2</v>
      </c>
      <c r="U28" s="2">
        <f>Tabla42424[[#This Row],[Total a Pagar]]</f>
        <v>14.58</v>
      </c>
      <c r="V28" s="2">
        <f>Tabla424625[[#This Row],[Total a Pagar]]</f>
        <v>51</v>
      </c>
      <c r="W28" s="2">
        <f>ROUND(Tabla42424[[#This Row],[Total a Pagar]]+Tabla424625[[#This Row],[Total a Pagar]],2)</f>
        <v>65.58</v>
      </c>
      <c r="X28" s="14"/>
    </row>
  </sheetData>
  <mergeCells count="10">
    <mergeCell ref="U1:X1"/>
    <mergeCell ref="U2:X2"/>
    <mergeCell ref="A1:I1"/>
    <mergeCell ref="K1:S1"/>
    <mergeCell ref="A2:B2"/>
    <mergeCell ref="C2:E2"/>
    <mergeCell ref="F2:H2"/>
    <mergeCell ref="K2:L2"/>
    <mergeCell ref="M2:O2"/>
    <mergeCell ref="P2:R2"/>
  </mergeCells>
  <phoneticPr fontId="4" type="noConversion"/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3A23B-F5A1-4D3F-9792-190622FE9136}">
  <dimension ref="A1:D6"/>
  <sheetViews>
    <sheetView workbookViewId="0">
      <selection activeCell="C5" sqref="C5"/>
    </sheetView>
  </sheetViews>
  <sheetFormatPr baseColWidth="10" defaultRowHeight="15" x14ac:dyDescent="0.25"/>
  <sheetData>
    <row r="1" spans="1:4" x14ac:dyDescent="0.25">
      <c r="A1">
        <v>307.14999999999998</v>
      </c>
      <c r="B1">
        <v>584</v>
      </c>
    </row>
    <row r="5" spans="1:4" x14ac:dyDescent="0.25">
      <c r="A5">
        <v>773.6</v>
      </c>
      <c r="B5">
        <v>593.89</v>
      </c>
      <c r="C5">
        <v>163.71</v>
      </c>
      <c r="D5" t="s">
        <v>47</v>
      </c>
    </row>
    <row r="6" spans="1:4" x14ac:dyDescent="0.25">
      <c r="A6">
        <v>475</v>
      </c>
      <c r="B6">
        <v>305.14999999999998</v>
      </c>
      <c r="C6">
        <v>169.85</v>
      </c>
      <c r="D6" t="s">
        <v>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9F2479-FA48-44E8-A27D-9128B49CD5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LUZ</vt:lpstr>
      <vt:lpstr>AGUA</vt:lpstr>
      <vt:lpstr>RESUMEN</vt:lpstr>
      <vt:lpstr>Peluqueria</vt:lpstr>
      <vt:lpstr>Lavanderia</vt:lpstr>
      <vt:lpstr>Departamento_Antiguo</vt:lpstr>
      <vt:lpstr>Departamento_Nuevo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Edinson Medina Chinga</dc:creator>
  <cp:lastModifiedBy>Edinson Medina Chinga</cp:lastModifiedBy>
  <dcterms:created xsi:type="dcterms:W3CDTF">2022-11-19T17:25:52Z</dcterms:created>
  <dcterms:modified xsi:type="dcterms:W3CDTF">2026-02-12T00:04:31Z</dcterms:modified>
</cp:coreProperties>
</file>